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8D2BCE-79DB-424D-8F19-D5E61C7D5C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เริ่มต้นและสรุป" sheetId="1" r:id="rId1"/>
    <sheet name="รายการทดสอบ" sheetId="2" r:id="rId2"/>
    <sheet name="รายการแก้ไข" sheetId="3" r:id="rId3"/>
    <sheet name="ชุดข้อมูลและเกณฑ์" sheetId="4" r:id="rId4"/>
  </sheets>
  <calcPr calcId="181029"/>
</workbook>
</file>

<file path=xl/calcChain.xml><?xml version="1.0" encoding="utf-8"?>
<calcChain xmlns="http://schemas.openxmlformats.org/spreadsheetml/2006/main">
  <c r="E6" i="1" l="1"/>
  <c r="E5" i="1"/>
  <c r="B11" i="1"/>
  <c r="B10" i="1"/>
  <c r="B8" i="1"/>
  <c r="B7" i="1"/>
  <c r="B6" i="1"/>
  <c r="B5" i="1"/>
  <c r="E7" i="1" l="1"/>
  <c r="B9" i="1"/>
  <c r="B12" i="1"/>
</calcChain>
</file>

<file path=xl/sharedStrings.xml><?xml version="1.0" encoding="utf-8"?>
<sst xmlns="http://schemas.openxmlformats.org/spreadsheetml/2006/main" count="852" uniqueCount="498">
  <si>
    <t>ภาพรวมการทดสอบ</t>
  </si>
  <si>
    <t>จำนวน</t>
  </si>
  <si>
    <t>รายการแก้ไข</t>
  </si>
  <si>
    <t>ทั้งหมด</t>
  </si>
  <si>
    <t>บันทึกปัญหา</t>
  </si>
  <si>
    <t>ผ่าน</t>
  </si>
  <si>
    <t>ปิดแล้ว</t>
  </si>
  <si>
    <t>ไม่ผ่าน</t>
  </si>
  <si>
    <t>ยังไม่ปิด</t>
  </si>
  <si>
    <t>ติดขัด</t>
  </si>
  <si>
    <t>ยังไม่ทดสอบ</t>
  </si>
  <si>
    <t>กำลังทดสอบ</t>
  </si>
  <si>
    <t>ไม่เกี่ยวข้อง</t>
  </si>
  <si>
    <t>อัตราผ่านของเคสที่ตัดสินแล้ว</t>
  </si>
  <si>
    <t>เริ่มใช้งาน</t>
  </si>
  <si>
    <t>1 บันทึกสำเนาแยกตามโครงการหรือรอบทดสอบ กรอกข้อมูลรอบและ URL ด้านล่าง</t>
  </si>
  <si>
    <t>เขียนเคส</t>
  </si>
  <si>
    <t>2 กรอกชีตรายการทดสอบ หนึ่งเคสต่อแถว พร้อมรหัส ขั้นตอน และผลที่ควรได้ รองรับ 76 เคสในเทมเพลตนี้</t>
  </si>
  <si>
    <t>บันทึกผล</t>
  </si>
  <si>
    <t>3 เลือกผลทดสอบ ใส่ผลจริง หลักฐาน ผู้ทดสอบ และวันที่ เคสที่มีรหัสแต่ยังไม่เลือกผลจะนับเป็นยังไม่ทดสอบ</t>
  </si>
  <si>
    <t>เมื่อพบปัญหา</t>
  </si>
  <si>
    <t>4 ใส่รหัส BUG-001 ในเคส และบันทึกรายละเอียดในรายการแก้ไข รองรับ 40 ปัญหา</t>
  </si>
  <si>
    <t>หลังแก้ไข</t>
  </si>
  <si>
    <t>5 ทำขั้นตอนเดิมซ้ำ ใส่ผลทดสอบซ้ำและหลักฐานใหม่ ปิดปัญหาเมื่อยืนยันว่าแก้แล้ว</t>
  </si>
  <si>
    <t>ตัวอย่าง</t>
  </si>
  <si>
    <t>6 ดูตัวอย่าง 1 เคสในชีตชุดข้อมูลและเกณฑ์ ตัวอย่างไม่รวมในยอดสรุป</t>
  </si>
  <si>
    <t>โครงการ / ผู้ประสานงาน</t>
  </si>
  <si>
    <t>รอบ / รุ่น Prototype</t>
  </si>
  <si>
    <t>Browser / ขนาดจอ</t>
  </si>
  <si>
    <t>วันเริ่มรอบ</t>
  </si>
  <si>
    <t>URL Prototype</t>
  </si>
  <si>
    <t>สถานะเอกสาร</t>
  </si>
  <si>
    <t>เทมเพลตเปล่า ผลสรุปนับเฉพาะเคสที่มีรหัส ไม่รวมตัวอย่างการกรอก</t>
  </si>
  <si>
    <t>กรอกหนึ่งเคสต่อแถว เริ่มด้วยรหัส TC-001 เลือกผลทดสอบ และใส่หลักฐาน ตัวอย่างอยู่ในชีตชุดข้อมูลและเกณฑ์</t>
  </si>
  <si>
    <t>รหัส</t>
  </si>
  <si>
    <t>หมวด</t>
  </si>
  <si>
    <t>State เริ่มต้น</t>
  </si>
  <si>
    <t>บทบาท</t>
  </si>
  <si>
    <t>สิ่งที่ทดสอบ</t>
  </si>
  <si>
    <t>ขั้นตอนทดสอบ</t>
  </si>
  <si>
    <t>ผลที่ควรได้</t>
  </si>
  <si>
    <t>ลำดับทดสอบ</t>
  </si>
  <si>
    <t>ผลทดสอบ</t>
  </si>
  <si>
    <t>ผลที่เกิดจริง</t>
  </si>
  <si>
    <t>รหัสปัญหา</t>
  </si>
  <si>
    <t>ลิงก์ภาพ/หลักฐาน</t>
  </si>
  <si>
    <t>ผู้ทดสอบ</t>
  </si>
  <si>
    <t>วันที่ทดสอบ</t>
  </si>
  <si>
    <t>ผลทดสอบซ้ำ</t>
  </si>
  <si>
    <t>รายการปัญหาและข้อเสนอแก้ไข</t>
  </si>
  <si>
    <t>หนึ่งปัญหาต่อหนึ่งแถว เช่น BUG-001 เชื่อมรหัส A6-xxx ไม่ต้องสร้างปัญหาซ้ำเมื่อพบจากหลายเคส</t>
  </si>
  <si>
    <t>รหัสทดสอบ</t>
  </si>
  <si>
    <t>หน้า/ขั้นตอน</t>
  </si>
  <si>
    <t>หัวข้อปัญหา</t>
  </si>
  <si>
    <t>วิธีทำให้เกิดซ้ำ</t>
  </si>
  <si>
    <t>ผลจริงและผลที่ควรได้</t>
  </si>
  <si>
    <t>หลักฐาน</t>
  </si>
  <si>
    <t>ความรุนแรง</t>
  </si>
  <si>
    <t>ลำดับแก้</t>
  </si>
  <si>
    <t>ข้อเสนอแก้ไข</t>
  </si>
  <si>
    <t>ผู้รับผิดชอบ</t>
  </si>
  <si>
    <t>สถานะงาน</t>
  </si>
  <si>
    <t>กำหนดเสร็จ</t>
  </si>
  <si>
    <t>หมายเหตุ</t>
  </si>
  <si>
    <t>ตัวอย่างการกรอกและเกณฑ์ใช้งาน</t>
  </si>
  <si>
    <t>ตัวอย่าง 1 เคส</t>
  </si>
  <si>
    <t>ข้อมูลสมมติ ไม่รวมในยอดสรุป</t>
  </si>
  <si>
    <t>TC-001</t>
  </si>
  <si>
    <t>เข้าสู่ระบบ</t>
  </si>
  <si>
    <t>อยู่หน้าเข้าสู่ระบบ และมีบัญชีทดสอบที่ได้รับอนุญาต</t>
  </si>
  <si>
    <t>ผู้ใช้งานทดสอบ</t>
  </si>
  <si>
    <t>เข้าสู่ระบบด้วยข้อมูลถูกต้อง</t>
  </si>
  <si>
    <t>ขั้นตอน</t>
  </si>
  <si>
    <t>1 เปิดหน้าเข้าสู่ระบบ
2 กรอกบัญชีทดสอบและรหัสผ่าน
3 กดเข้าสู่ระบบ</t>
  </si>
  <si>
    <t>เข้าไปหน้าหลัก แสดงผู้ใช้งานและเมนูตรงสิทธิ์ โดยไม่แสดงข้อผิดพลาด</t>
  </si>
  <si>
    <t>P1</t>
  </si>
  <si>
    <t>ไม่ผ่าน (ตัวอย่างสมมติ)</t>
  </si>
  <si>
    <t>หน้าหลักเปิดได้ แต่แสดงชื่อผู้ใช้งานว่าง</t>
  </si>
  <si>
    <t>BUG-001</t>
  </si>
  <si>
    <t>ลิงก์ไปยัง TC-001-after-login.png</t>
  </si>
  <si>
    <t>ผู้ทดสอบตัวอย่าง</t>
  </si>
  <si>
    <t>กรอกวันที่ที่ทดสอบจริง</t>
  </si>
  <si>
    <t>รอทดสอบซ้ำ</t>
  </si>
  <si>
    <t>ยังไม่ทดสอบ / กำลังทดสอบ / ผ่าน / ไม่ผ่าน / ติดขัด / ไม่เกี่ยวข้อง</t>
  </si>
  <si>
    <t>วิกฤต: ข้อมูลรั่วหรือผิดคน; สูง: โฟลวหลักหยุดหรือผลผิด; กลาง: ยังทำต่อได้; ต่ำ: ข้อความหรือรูปแบบ</t>
  </si>
  <si>
    <t>P0 แก้ทันที; P1 ก่อนส่งมอบ; P2 รอบถัดไป; P3 ปรับปรุง ผู้รับผิดชอบยืนยันลำดับ</t>
  </si>
  <si>
    <t>ระบุ URL รุ่นระบบ บทบาท ข้อมูลทดสอบ และภาพก่อน/หลัง ใช้ข้อมูลสมมติ ไม่บันทึกรหัสผ่านลง Excel</t>
  </si>
  <si>
    <t>กติกาสรุป</t>
  </si>
  <si>
    <t>ใส่รหัสไม่ซ้ำทุกเคสและทุกปัญหา แถวไม่มีรหัสจะไม่นับผลทดสอบ ตัวอย่างในชีตนี้ไม่นับรวม</t>
  </si>
  <si>
    <t>เพิ่มความจุ</t>
  </si>
  <si>
    <t>หากใช้เกิน 76 เคสหรือ 40 ปัญหา ต้องขยายตาราง สูตรสรุป ช่องเลือกสถานะ และรูปแบบสีให้ครอบคลุม</t>
  </si>
  <si>
    <t>https://pacc-a6.teerut-s.workers.dev/registry</t>
  </si>
  <si>
    <t>กลาง</t>
  </si>
  <si>
    <t>เปิดใหม่</t>
  </si>
  <si>
    <t>DEF-06-001</t>
  </si>
  <si>
    <t>TC-002</t>
  </si>
  <si>
    <t>BUG-002</t>
  </si>
  <si>
    <t>DEF-06-002</t>
  </si>
  <si>
    <t>TC-003</t>
  </si>
  <si>
    <t>BUG-003</t>
  </si>
  <si>
    <t>DEF-06-003</t>
  </si>
  <si>
    <t>TC-004</t>
  </si>
  <si>
    <t>BUG-004</t>
  </si>
  <si>
    <t>DEF-06-004</t>
  </si>
  <si>
    <t>TC-005</t>
  </si>
  <si>
    <t>เจ้าหน้าที่ ป.ป.ท.</t>
  </si>
  <si>
    <t>P0</t>
  </si>
  <si>
    <t>BUG-005</t>
  </si>
  <si>
    <t>https://pacc-a6.teerut-s.workers.dev/intake</t>
  </si>
  <si>
    <t>DEF-06-005</t>
  </si>
  <si>
    <t>TC-006</t>
  </si>
  <si>
    <t>ผู้บังคับบัญชาชั้นต้น</t>
  </si>
  <si>
    <t>BUG-006</t>
  </si>
  <si>
    <t>https://pacc-a6.teerut-s.workers.dev/dossier/WP-2569-000501</t>
  </si>
  <si>
    <t>แฟ้มคำร้อง</t>
  </si>
  <si>
    <t>สูง</t>
  </si>
  <si>
    <t>DEF-06-006</t>
  </si>
  <si>
    <t>TC-007</t>
  </si>
  <si>
    <t>Mock State Case 3</t>
  </si>
  <si>
    <t>BUG-007</t>
  </si>
  <si>
    <t>DEF-06-007</t>
  </si>
  <si>
    <t>TC-008</t>
  </si>
  <si>
    <t>Mock State Case 4.1</t>
  </si>
  <si>
    <t>TC-009</t>
  </si>
  <si>
    <t>เลขาธิการ ป.ป.ท.</t>
  </si>
  <si>
    <t>TC-010</t>
  </si>
  <si>
    <t>แบบฟอร์ม คบ.</t>
  </si>
  <si>
    <t>TC-011</t>
  </si>
  <si>
    <t>TC-012</t>
  </si>
  <si>
    <t>TC-013</t>
  </si>
  <si>
    <t>TC-014</t>
  </si>
  <si>
    <t>TC-015</t>
  </si>
  <si>
    <t>https://pacc-a6.teerut-s.workers.dev/protection-monitor</t>
  </si>
  <si>
    <t>TC-016</t>
  </si>
  <si>
    <t>P2</t>
  </si>
  <si>
    <t>https://pacc-a6.teerut-s.workers.dev/forms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</si>
  <si>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</si>
  <si>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</si>
  <si>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</si>
  <si>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</si>
  <si>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</si>
  <si>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</si>
  <si>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</si>
  <si>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</si>
  <si>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P3</t>
  </si>
  <si>
    <t>TC-025</t>
  </si>
  <si>
    <t>TC-026</t>
  </si>
  <si>
    <t>TC-027</t>
  </si>
  <si>
    <t>TC-028</t>
  </si>
  <si>
    <t>Mock State Case 1.16</t>
  </si>
  <si>
    <t>ผอ.สำนัก/กอง</t>
  </si>
  <si>
    <t>https://pacc-a6.teerut-s.workers.dev/termination/WP-2569-000501</t>
  </si>
  <si>
    <t>TC-029</t>
  </si>
  <si>
    <t>https://pacc-a6.teerut-s.workers.dev/appeal</t>
  </si>
  <si>
    <t>อุทธรณ์</t>
  </si>
  <si>
    <t>TC-030</t>
  </si>
  <si>
    <t>ธุรการสำนัก/กอง</t>
  </si>
  <si>
    <t>TC-031</t>
  </si>
  <si>
    <t>https://pacc-a6.teerut-s.workers.dev</t>
  </si>
  <si>
    <t>Prototype 24/09/2026</t>
  </si>
  <si>
    <t>Microsoft Edge / 1528x747, 390px</t>
  </si>
  <si>
    <t>E-CMIS ระบบคุ้มครองพยาน</t>
  </si>
  <si>
    <t>TC-032</t>
  </si>
  <si>
    <t>TC-033</t>
  </si>
  <si>
    <t>TC-034</t>
  </si>
  <si>
    <t>แฟ้มรอ ผอ. มอบหมาย</t>
  </si>
  <si>
    <t>TC-035</t>
  </si>
  <si>
    <t>TC-036</t>
  </si>
  <si>
    <t>TC-037</t>
  </si>
  <si>
    <t>TC-038</t>
  </si>
  <si>
    <t>TC-039</t>
  </si>
  <si>
    <t>Mock State Case 5</t>
  </si>
  <si>
    <t>https://pacc-a6.teerut-s.workers.dev/article14</t>
  </si>
  <si>
    <t>TC-040</t>
  </si>
  <si>
    <t>TC-041</t>
  </si>
  <si>
    <t>บันทึก คบ.6 โดยเว้นช่องบังคับ</t>
  </si>
  <si>
    <t>บันทึก คบ.6 ได้ทั้งที่ช่องบังคับว่าง</t>
  </si>
  <si>
    <t>TC-042</t>
  </si>
  <si>
    <t>TC-043</t>
  </si>
  <si>
    <t>TC-044</t>
  </si>
  <si>
    <t>คุ้มครองและติดตาม</t>
  </si>
  <si>
    <t>TC-045</t>
  </si>
  <si>
    <t>ทบทวนและสิ้นสุด</t>
  </si>
  <si>
    <t>TC-046</t>
  </si>
  <si>
    <t>TC-047</t>
  </si>
  <si>
    <t>Mock State Case 3.1</t>
  </si>
  <si>
    <t>TC-048</t>
  </si>
  <si>
    <t>Mock State Case 4.2</t>
  </si>
  <si>
    <t>คณะกรรมการ ป.ป.ท.</t>
  </si>
  <si>
    <t>https://pacc-a6.teerut-s.workers.dev/appeal-folder/WP-2569-000501</t>
  </si>
  <si>
    <t>TC-049</t>
  </si>
  <si>
    <t>TC-050</t>
  </si>
  <si>
    <t>TC-051</t>
  </si>
  <si>
    <t>TC-052</t>
  </si>
  <si>
    <t>https://pacc-a6.teerut-s.workers.dev/protection-review/WP-2569-000501</t>
  </si>
  <si>
    <t>TC-053</t>
  </si>
  <si>
    <t>อนุมัติแล้ว</t>
  </si>
  <si>
    <t>เจ้าหน้าที่ / ผบช. / เลขาธิการ</t>
  </si>
  <si>
    <t>https://pacc-a6.teerut-s.workers.dev/protection-extension/WP-2569-000501</t>
  </si>
  <si>
    <t>รับคำร้อง (02)</t>
  </si>
  <si>
    <t>ล้างข้อมูล เริ่มใหม่</t>
  </si>
  <si>
    <t>ธุรการรับคำร้องเข้าทะเบียน</t>
  </si>
  <si>
    <t>1 เปิด รับคำร้องใหม่
2 เลือก คำร้อง กรอกข้อมูล
3 กด บันทึกรับเรื่องเข้าทะเบียน</t>
  </si>
  <si>
    <t>บันทึกได้ เปิดแฟ้มใหม่ที่ขั้นเชื่อมโยงคดี (ธุรการไม่ต้องกลั่นกรองเร่งด่วน)</t>
  </si>
  <si>
    <t>บันทึกได้ เปิดแฟ้ม WP-2569-000501 ขั้นเชื่อมโยงคดี</t>
  </si>
  <si>
    <t>หน้า รับคำร้องใหม่</t>
  </si>
  <si>
    <t>เจ้าหน้าที่รับ คบ.1 (เข้าพบเอง)</t>
  </si>
  <si>
    <t>1 เปิด รับคำร้องใหม่
2 เลือก กรณีปกติ กรอกเหตุผล
3 เลือก คบ.1 แล้วกด บันทึกรับเรื่องเข้าทะเบียน</t>
  </si>
  <si>
    <t>ต้องกลั่นกรองก่อนจึงเลือกแบบได้ บันทึกแล้วเปิดแฟ้มใหม่</t>
  </si>
  <si>
    <t>ประเภทเอกสารล็อกจนกว่าเลือกกลั่นกรอง ไม่กรอกเหตุผลบันทึกไม่ได้ บันทึกแล้วเปิดแฟ้ม WP-2569-000502</t>
  </si>
  <si>
    <t>เจ้าหน้าที่รับ คบ.2 (โทรศัพท์) กรณีเร่งด่วน</t>
  </si>
  <si>
    <t>1 เปิด รับคำร้องใหม่
2 เลือก กรณีจำเป็นเร่งด่วน กรอกเหตุผล
3 เลือก คบ.2 แล้วกด บันทึกรับเรื่องเข้าทะเบียน</t>
  </si>
  <si>
    <t>บันทึกได้ แฟ้มใหม่เป็นเส้นทางเร่งด่วน</t>
  </si>
  <si>
    <t>เปิดแฟ้ม WP-2569-000503 ประเภท คบ.2 ความเร่งด่วน จำเป็นเร่งด่วน (Fast Track)</t>
  </si>
  <si>
    <t>แฟ้มใหม่ ขั้นเชื่อมโยงคดี</t>
  </si>
  <si>
    <t>เชื่อมโยงเลขสำนวนหลัก</t>
  </si>
  <si>
    <t>1 เลือกคดี กบค. จากรายการ กรอกเหตุผล
2 กด ยืนยันเชื่อมโยงคดี</t>
  </si>
  <si>
    <t>เชื่อมโยงสำเร็จ ส่ง ผอ. ได้</t>
  </si>
  <si>
    <t>เชื่อมโยงสำเร็จ ปุ่มส่ง ผอ. ใช้ได้</t>
  </si>
  <si>
    <t>ค้นไม่พบเลขสำนวนหลัก (WIT0215)</t>
  </si>
  <si>
    <t>1 เลือกเหตุผลที่เชื่อมโยงไม่ได้
2 กด ค้นไม่พบ แล้วยืนยัน
3 กด ส่ง ผอ.สำนัก/กอง</t>
  </si>
  <si>
    <t>บันทึกเหตุผลแล้วรับเรื่องต่อได้ ไม่ปิดตก</t>
  </si>
  <si>
    <t>สถานะ รับเรื่องต่อโดยยังไม่มีเลขสำนวนหลัก และส่ง ผอ. ได้</t>
  </si>
  <si>
    <t>https://pacc-a6.teerut-s.workers.dev/dossier/WP-2569-000502</t>
  </si>
  <si>
    <t>ปุ่มกลับทะเบียนคำร้อง</t>
  </si>
  <si>
    <t>1 เปิด รับคำร้องใหม่
2 กด กลับทะเบียนคำร้อง</t>
  </si>
  <si>
    <t>กลับหน้าทะเบียน</t>
  </si>
  <si>
    <t>กลับหน้าทะเบียนคำร้อง</t>
  </si>
  <si>
    <t>มอบหมาย (03)</t>
  </si>
  <si>
    <t>ผอ. มอบหมายเจ้าของสำนวน</t>
  </si>
  <si>
    <t>1 ธุรการกด ส่ง ผอ.
2 ผอ. เปิดจากคิวงาน
3 เลือกเจ้าของสำนวน แล้วมอบหมาย</t>
  </si>
  <si>
    <t>ส่งต่อได้หลังเลือกเจ้าของสำนวน งานเข้าคิวเจ้าหน้าที่</t>
  </si>
  <si>
    <t>ปุ่มส่งล็อกจนกว่าเลือกเจ้าของสำนวน มอบหมายแล้วงานเข้าคิวเจ้าหน้าที่</t>
  </si>
  <si>
    <t>จัดทำเอกสาร (04)</t>
  </si>
  <si>
    <t>มอบหมายแล้ว</t>
  </si>
  <si>
    <t>จัดทำ คบ.1 / ข้าม คบ.3 / กลั่นกรองปกติ</t>
  </si>
  <si>
    <t>1 บันทึก คบ.1
2 ข้าม คบ.3 พร้อมเหตุผล
3 เลือกผลประเมิน ไม่เร่งด่วน</t>
  </si>
  <si>
    <t>บันทึกแล้วกลับแฟ้ม เดินขั้นถัดไปได้</t>
  </si>
  <si>
    <t>บันทึกแล้วกลับแฟ้ม ข้าม คบ.3 ได้เมื่อมีเหตุผล</t>
  </si>
  <si>
    <t>https://pacc-a6.teerut-s.workers.dev/form/1</t>
  </si>
  <si>
    <t>ยังไม่มี คบ.6</t>
  </si>
  <si>
    <t>ส่ง ผบช. ก่อนมี คบ.6</t>
  </si>
  <si>
    <t>1 เปิดแฟ้มที่ยังไม่มี คบ.6
2 ดูปุ่มเสนอ ผบช.</t>
  </si>
  <si>
    <t>ส่งไม่ได้จนกว่ามี คบ.6</t>
  </si>
  <si>
    <t>ปุ่มเสนอล็อก</t>
  </si>
  <si>
    <t>แฟ้มกรณีปกติ</t>
  </si>
  <si>
    <t>1 เปิดแฟ้ม กด ไปลงนามในแบบ คบ.6
2 เว้นช่อง 1.1 และ 2.2
3 กด บันทึกแบบ คบ.6</t>
  </si>
  <si>
    <t>บันทึกไม่ได้ และแจ้งช่องบังคับที่ว่าง</t>
  </si>
  <si>
    <t>บันทึกผ่านและกลับแฟ้ม</t>
  </si>
  <si>
    <t>https://pacc-a6.teerut-s.workers.dev/form/6</t>
  </si>
  <si>
    <t>ผลจริง: บันทึกผ่านและกลับแฟ้ม
ผลที่ควรได้: บันทึกไม่ได้ และแจ้งช่องบังคับที่ว่าง</t>
  </si>
  <si>
    <t>URL: https://pacc-a6.teerut-s.workers.dev/form/6
บทบาท: เจ้าหน้าที่ ป.ป.ท.
ข้อมูล: แฟ้มกรณีปกติ</t>
  </si>
  <si>
    <t>ตรวจช่องที่มี * ก่อนบันทึก</t>
  </si>
  <si>
    <t>ลำดับชั้น (05)</t>
  </si>
  <si>
    <t>Mock State Case 2</t>
  </si>
  <si>
    <t>ผบช. ลงนามความเห็น คบ.6 ข้อ 10</t>
  </si>
  <si>
    <t>1 สลับเป็น ผบช.ชั้นต้น
2 เปิด คบ.6 กรอกความเห็นข้อ 10
3 กด ลงนาม</t>
  </si>
  <si>
    <t>ชื่อผู้ลงนามเป็นชื่อ ผบช.</t>
  </si>
  <si>
    <t>ชื่อผู้ลงนามขึ้น นางสาวอรุณี ใจมั่น (เจ้าหน้าที่)</t>
  </si>
  <si>
    <t>ชื่อผู้ลงนามข้อ 10 ของ ผบช. เป็นชื่อเจ้าหน้าที่</t>
  </si>
  <si>
    <t>ผลจริง: ชื่อผู้ลงนามขึ้น นางสาวอรุณี ใจมั่น (เจ้าหน้าที่)
ผลที่ควรได้: ชื่อผู้ลงนามเป็นชื่อ ผบช.</t>
  </si>
  <si>
    <t>URL: https://pacc-a6.teerut-s.workers.dev/form/6
บทบาท: ผู้บังคับบัญชาชั้นต้น
ข้อมูล: Mock State Case 2</t>
  </si>
  <si>
    <t>ดึงชื่อผู้ใช้ที่ลงนามจริง</t>
  </si>
  <si>
    <t>ผบช. ส่งกลับแก้ไข แล้วเจ้าหน้าที่ส่งใหม่</t>
  </si>
  <si>
    <t>1 ผบช. กด ส่งกลับแก้ไข
2 เจ้าหน้าที่แก้ แล้วส่ง ผบช. ใหม่</t>
  </si>
  <si>
    <t>กลับไปเจ้าหน้าที่ และส่งกลับ ผบช. ได้</t>
  </si>
  <si>
    <t>ทำงานตามผัง</t>
  </si>
  <si>
    <t>Mock State Case 2.1</t>
  </si>
  <si>
    <t>ผอ. ส่งกลับแก้ไข แล้วเจ้าหน้าที่ส่งตรง ผอ.</t>
  </si>
  <si>
    <t>1 ผอ. กด ส่งกลับแก้ไข
2 เจ้าหน้าที่แก้ แล้วส่งกลับ</t>
  </si>
  <si>
    <t>ส่งกลับถึง ผอ. โดยตรง (WIT0511)</t>
  </si>
  <si>
    <t>ส่งตรง ผอ. ได้</t>
  </si>
  <si>
    <t>Mock State Case 2 / 2.1</t>
  </si>
  <si>
    <t>ผบช.ชั้นต้น / ผอ.สำนัก/กอง</t>
  </si>
  <si>
    <t>ดึงเรื่องกลับหลังส่งต่อขั้นถัดไปแล้ว</t>
  </si>
  <si>
    <t>1 ผบช. เสนอ ผอ. (หรือ ผอ. ลงนามแล้วส่งรองเลขาธิการฯ)
2 ผู้ส่งเปิดแฟ้มเดิม กด ส่งกลับแก้ไข / ตีกลับ</t>
  </si>
  <si>
    <t>ไม่มีปุ่มส่งกลับหลังส่งต่อแล้ว</t>
  </si>
  <si>
    <t>ยังกดส่งกลับได้ แฟ้มถูกดึงกลับจากขั้นถัดไป</t>
  </si>
  <si>
    <t>ผบช./ผอ. ดึงเรื่องกลับได้หลังส่งต่อแล้ว</t>
  </si>
  <si>
    <t>ผลจริง: ยังกดส่งกลับได้ แฟ้มถูกดึงกลับจากขั้นถัดไป
ผลที่ควรได้: ไม่มีปุ่มส่งกลับหลังส่งต่อแล้ว</t>
  </si>
  <si>
    <t>URL: https://pacc-a6.teerut-s.workers.dev/dossier/WP-2569-000501
บทบาท: ผบช.ชั้นต้น / ผอ.สำนัก/กอง
ข้อมูล: Mock State Case 2 / 2.1</t>
  </si>
  <si>
    <t>ซ่อนปุ่มส่งกลับเมื่อแฟ้มพ้นขั้นของตน</t>
  </si>
  <si>
    <t>Mock State Case 2.2</t>
  </si>
  <si>
    <t>รองเลขาธิการฯ</t>
  </si>
  <si>
    <t>รองเลขาฯ ส่งต่อก่อนลงนาม / หลังส่งต่อ</t>
  </si>
  <si>
    <t>1 ดูปุ่มเสนอเลขาธิการก่อนลงนาม คบ.6
2 ลงนามแล้วเสนอเลขาธิการ
3 ดูปุ่มส่งกลับ</t>
  </si>
  <si>
    <t>ก่อนลงนามส่งไม่ได้ หลังส่งต่อไม่มีปุ่มส่งกลับ</t>
  </si>
  <si>
    <t>ปุ่มล็อกก่อนลงนาม และหลังส่งต่อไม่มีปุ่มส่งกลับ</t>
  </si>
  <si>
    <t>กรณีเร่งด่วน (06)</t>
  </si>
  <si>
    <t>ผอ. ตรวจแล้วไม่ครบ ส่งกลับแก้ไข (WIT0607/0608)</t>
  </si>
  <si>
    <t>1 กด ไม่ครบ — ส่งกลับแก้ไข
2 กรอกเหตุผล แล้วยืนยัน
3 เจ้าหน้าที่กด ส่งฉบับแก้ไขให้ ผอ. ตรวจใหม่</t>
  </si>
  <si>
    <t>กลับเจ้าหน้าที่ แล้วส่ง ผอ. ตรวจใหม่ได้</t>
  </si>
  <si>
    <t>ต้องกรอกเหตุผล ส่งกลับได้ และเจ้าหน้าที่ส่งกลับ ผอ. ได้</t>
  </si>
  <si>
    <t>ผอ. อนุมัติและลงนาม คบ.5 (WIT0609/0611)</t>
  </si>
  <si>
    <t>1 กด ครบ — พร้อมพิจารณา
2 กด อนุมัติและลงนาม คบ.5 กรอกเลขคำสั่ง ลงลายมือชื่อ
3 เจ้าหน้าที่กด พยานลงนามยินยอม</t>
  </si>
  <si>
    <t>คุ้มครองชั่วคราวมีผล</t>
  </si>
  <si>
    <t>ต้องมีเลขคำสั่งและลายมือชื่อ ลงนามแล้วสถานะ คุ้มครองชั่วคราวตาม คบ.5 มีผลแล้ว</t>
  </si>
  <si>
    <t>เสนอคำขอเร่งด่วนโดยไม่เลือกวิธีใน คบ.4</t>
  </si>
  <si>
    <t>1 ไม่เลือกวิธีคุ้มครองใน คบ.4
2 กด เสนอ ผอ.สำนัก/กอง
3 สลับเป็น ผอ.</t>
  </si>
  <si>
    <t>Mock State Case 3.1 หลัง ผอ. ตัดสิน</t>
  </si>
  <si>
    <t>คำร้องหลักเดินต่อหลังตัดสินคำขอเร่งด่วน</t>
  </si>
  <si>
    <t>1 ผอ. ไม่อนุมัติชั่วคราว (หรืออนุมัติ คบ.5 และพยานยินยอม)
2 เจ้าหน้าที่กด เสนอ ผอ.สำนัก/กอง</t>
  </si>
  <si>
    <t>ต้องจัดทำ คบ.6 และผ่าน ผบช. ก่อน (แท็บ 05)</t>
  </si>
  <si>
    <t>ส่งได้ทันทีโดยไม่มี คบ.6 ข้าม ผบช. และสถานะกลับเป็น รอ ผอ.พิจารณา (เร่งด่วน)</t>
  </si>
  <si>
    <t>หลังตัดสินเร่งด่วน คำร้องหลักข้าม คบ.6 / ผบช. และวนกลับ ผอ.</t>
  </si>
  <si>
    <t>ผลจริง: ส่งได้ทันทีโดยไม่มี คบ.6 ข้าม ผบช. และสถานะกลับเป็น รอ ผอ.พิจารณา (เร่งด่วน)
ผลที่ควรได้: ต้องจัดทำ คบ.6 และผ่าน ผบช. ก่อน (แท็บ 05)</t>
  </si>
  <si>
    <t>URL: https://pacc-a6.teerut-s.workers.dev/dossier/WP-2569-000501
บทบาท: เจ้าหน้าที่ ป.ป.ท.
ข้อมูล: Mock State Case 3.1 หลัง ผอ. ตัดสิน</t>
  </si>
  <si>
    <t>หลังตัดสินให้เดินแท็บ 05 (คบ.6 → ผบช.) และล็อกปุ่มเสนอ ผอ.</t>
  </si>
  <si>
    <t>ผลพิจารณา (07)</t>
  </si>
  <si>
    <t>รอเลขาธิการพิจารณา</t>
  </si>
  <si>
    <t>เลขาธิการส่งกลับ → ผอ. มอบหมายแก้ไข</t>
  </si>
  <si>
    <t>1 เลขาธิการกด ส่งกลับ
2 ผอ. กด มอบหมายแก้ไขเป็น Revision ใหม่
3 เจ้าหน้าที่แก้ แล้วส่ง ผบช.</t>
  </si>
  <si>
    <t>วนกลับตามลำดับชั้น</t>
  </si>
  <si>
    <t>อนุมัติโดยพิมพ์เลขแฟ้มผิด (WIT0703)</t>
  </si>
  <si>
    <t>อนุมัติ → ไป 08A</t>
  </si>
  <si>
    <t>1 กด อนุมัติ ใส่เลขแฟ้มถูก
2 ยืนยัน</t>
  </si>
  <si>
    <t>แฟ้มไปขั้นแจ้งผล คบ.9 / คบ.11</t>
  </si>
  <si>
    <t>ไปขั้นแจ้งผล คบ.9 / คบ.11</t>
  </si>
  <si>
    <t>ไม่อนุมัติ (09A)</t>
  </si>
  <si>
    <t>เจ้าหน้าที่ / รองเลขาฯ / เลขาธิการ</t>
  </si>
  <si>
    <t>ไม่อนุมัติ → คบ.10 → นำส่ง</t>
  </si>
  <si>
    <t>1 เลขาธิการกด ไม่อนุมัติ
2 เจ้าหน้าที่ทำ คบ.10 เสนอรองเลขาฯ กลั่นกรอง
3 เลขาธิการลงนาม นำส่ง บันทึกพยานรับ</t>
  </si>
  <si>
    <t>ครบตามผัง 09A</t>
  </si>
  <si>
    <t>เลขาธิการ / คณะกรรมการ</t>
  </si>
  <si>
    <t>เห็นควรตามข้อ 14 → 08C</t>
  </si>
  <si>
    <t>1 เลือก เห็นควรตามข้อ 14
2 เปิดหน้า ข้อ 14
3 คณะกรรมการไม่เห็นชอบ</t>
  </si>
  <si>
    <t>ไป 08C และมีทางไปกระบวนการยุติเมื่อไม่เห็นชอบ</t>
  </si>
  <si>
    <t>หน้า 08C มีแฟ้ม และมีลิงก์ไปกระบวนการยุติ</t>
  </si>
  <si>
    <t>ปฏิบัติตามวิธี (08A)</t>
  </si>
  <si>
    <t>คบ.9 / คบ.11 แล้วไป 08A</t>
  </si>
  <si>
    <t>1 เสนอ ลงนาม นำส่ง คบ.9 บันทึกพยานรับ
2 ลงนาม คบ.11 ครบ</t>
  </si>
  <si>
    <t>มีปุ่มไปหน้าแยกแนวทาง (08A)</t>
  </si>
  <si>
    <t>มีปุ่มไป 08A</t>
  </si>
  <si>
    <t>Mock State Case 1.12</t>
  </si>
  <si>
    <t>เปิดวิธีที่ไม่ได้อนุมัติ</t>
  </si>
  <si>
    <t>1 เปิดหน้าวิธีที่ 2-4 ที่ไม่ได้อนุมัติ</t>
  </si>
  <si>
    <t>ดำเนินการไม่ได้</t>
  </si>
  <si>
    <t>ไม่มีปุ่มดำเนินการ</t>
  </si>
  <si>
    <t>https://pacc-a6.teerut-s.workers.dev/protection-methods</t>
  </si>
  <si>
    <t>ปฏิบัติตามวิธี (08A-1)</t>
  </si>
  <si>
    <t>วิธีที่ 1 ถึงเริ่มปฏิบัติ</t>
  </si>
  <si>
    <t>1 เสนอ/ลงนาม คบ.8
2 จัดชุด วางแผน
3 กด เริ่มปฏิบัติจริง</t>
  </si>
  <si>
    <t>สถานะ ACTIVE และมีปุ่มกลับ</t>
  </si>
  <si>
    <t>ACTIVE มีปุ่มกลับ 08A / กลับแฟ้ม</t>
  </si>
  <si>
    <t>https://pacc-a6.teerut-s.workers.dev/protection-method/1</t>
  </si>
  <si>
    <t>ปฏิบัติตามวิธี (08A-2)</t>
  </si>
  <si>
    <t>Mock State Case 1.12 วิธีที่ 2</t>
  </si>
  <si>
    <t>ผลประเมินสถานที่ ไม่เหมาะสม</t>
  </si>
  <si>
    <t>1 บันทึกผลประเมินรอบล่าสุด ไม่เหมาะสม
2 กด ไม่เหมาะสม — เลือกใหม่
3 กด ถัดไป และบันทึกเข้าพัก</t>
  </si>
  <si>
    <t>กลับไปเลือกสถานที่ใหม่ (WIT0824) และเริ่มปฏิบัติไม่ได้</t>
  </si>
  <si>
    <t>ไม่กลับไปเลือกสถานที่ และไปขั้นที่ 4 เริ่มปฏิบัติ ACTIVE ได้</t>
  </si>
  <si>
    <t>https://pacc-a6.teerut-s.workers.dev/protection-method/2</t>
  </si>
  <si>
    <t>วิธีที่ 2 สถานที่ไม่เหมาะสม แต่ยังเริ่มปฏิบัติได้</t>
  </si>
  <si>
    <t>ผลจริง: ไม่กลับไปเลือกสถานที่ และไปขั้นที่ 4 เริ่มปฏิบัติ ACTIVE ได้
ผลที่ควรได้: กลับไปเลือกสถานที่ใหม่ (WIT0824) และเริ่มปฏิบัติไม่ได้</t>
  </si>
  <si>
    <t>URL: https://pacc-a6.teerut-s.workers.dev/protection-method/2
บทบาท: เจ้าหน้าที่ ป.ป.ท.
ข้อมูล: Mock State Case 1.12 วิธีที่ 2</t>
  </si>
  <si>
    <t>ไม่เหมาะสมให้กลับ WIT0824 และล็อกขั้นถัดไป</t>
  </si>
  <si>
    <t>ปฏิบัติตามวิธี (08A-3)</t>
  </si>
  <si>
    <t>Mock State Case 1.12 วิธีที่ 3</t>
  </si>
  <si>
    <t>วิธีที่ 3 ผลตรวจไม่ผ่าน / ผ่าน</t>
  </si>
  <si>
    <t>1 บันทึกผล ไม่ผ่าน
2 บันทึกผล ผ่าน แล้วเริ่มปฏิบัติ</t>
  </si>
  <si>
    <t>ไม่ผ่านเปิดใช้ไม่ได้ ผ่านแล้ว ACTIVE</t>
  </si>
  <si>
    <t>https://pacc-a6.teerut-s.workers.dev/protection-method/3</t>
  </si>
  <si>
    <t>ปฏิบัติตามวิธี (08B)</t>
  </si>
  <si>
    <t>Mock State Case 1.12 วิธีที่ 4</t>
  </si>
  <si>
    <t>วิธีที่ 4 ส่งมอบหน่วยงาน</t>
  </si>
  <si>
    <t>1 กดส่งมอบก่อนหน่วยงานตอบรับ
2 หน่วยงานปฏิเสธ เสนอหน่วยงานใหม่
3 ส่งมอบ คบ.12</t>
  </si>
  <si>
    <t>ก่อนตอบรับส่งมอบไม่ได้ เสนอหน่วยงานใหม่ไป ผบช.</t>
  </si>
  <si>
    <t>ทำงานตามผัง ถึง ACTIVE</t>
  </si>
  <si>
    <t>https://pacc-a6.teerut-s.workers.dev/protection-method/4</t>
  </si>
  <si>
    <t>วิธีที่ 4 หน่วยงานปฏิเสธ</t>
  </si>
  <si>
    <t>ตอบรับจากหน่วยงานใหม่ก่อน ผบช. เห็นชอบ</t>
  </si>
  <si>
    <t>1 บันทึกหน่วยงานปฏิเสธ
2 เสนอหน่วยงานใหม่ (รอ ผบช.)
3 กดบันทึกตอบรับดำเนินการ</t>
  </si>
  <si>
    <t>ข้อ 14 (08C)</t>
  </si>
  <si>
    <t>เจ้าหน้าที่ / ผบช. / เลขาธิการ / คณะกรรมการ</t>
  </si>
  <si>
    <t>เสนอข้อ 14 ตามลำดับ</t>
  </si>
  <si>
    <t>1 เจ้าหน้าที่เสนอ
2 ผบช. และเลขาธิการเห็นชอบ
3 คณะกรรมการเห็นชอบส่งกรม</t>
  </si>
  <si>
    <t>ผ่านครบตามลำดับ</t>
  </si>
  <si>
    <t>คณะกรรมการเห็นชอบส่งกรม</t>
  </si>
  <si>
    <t>ส่งมอบก่อนได้หนังสือตอบจากกรม</t>
  </si>
  <si>
    <t>1 บันทึกหนังสือขาออก
2 กด บันทึกส่งมอบ</t>
  </si>
  <si>
    <t>ต้องบันทึกผลตอบรับจากกรมก่อน (WIT0860)</t>
  </si>
  <si>
    <t>Mock State Case 4.1 (เหลือ 25 วัน)</t>
  </si>
  <si>
    <t>พยานไม่อุทธรณ์ → สิ้นสุด (WIT0909)</t>
  </si>
  <si>
    <t>1 เปิดแฟ้มที่พยานรับ คบ.10 แล้ว
2 หาปุ่มบันทึกไม่อุทธรณ์ / ปิดเรื่อง</t>
  </si>
  <si>
    <t>บันทึกไม่อุทธรณ์ หรือปิดเมื่อพ้น 30 วันได้</t>
  </si>
  <si>
    <t>ต้องตรวจสอบ – มีแต่ฟอร์มรับอุทธรณ์ ไม่มีปุ่มไม่อุทธรณ์/ปิดเรื่อง อาจปิดอัตโนมัติเมื่อครบ 30 วัน ต้องยืนยันกับผู้ออกแบบ</t>
  </si>
  <si>
    <t>อุทธรณ์ (09B)</t>
  </si>
  <si>
    <t>รับคำอุทธรณ์เข้าแฟ้มเดิม</t>
  </si>
  <si>
    <t>1 เลือกช่องทาง หนังสือ/วาจา กรอกข้อมูล
2 กด รับคำร้องอุทธรณ์เข้าระบบ</t>
  </si>
  <si>
    <t>เปิดแฟ้มอุทธรณ์ในแฟ้มเดิม</t>
  </si>
  <si>
    <t>รับเข้าได้ ไม่สร้าง คบ.1 ใหม่</t>
  </si>
  <si>
    <t>ลำดับเสนอแฟ้มอุทธรณ์ ผบช. → ผอ. (WIT0916)</t>
  </si>
  <si>
    <t>1 ผบช. บันทึกความเห็น
2 ดูปุ่มเสนอขั้นถัดไป
3 สลับเป็น ผอ. เปิด /appeal</t>
  </si>
  <si>
    <t>ผบช. ส่ง ผอ. และ ผอ. ลงนามเสนอรองเลขาฯ</t>
  </si>
  <si>
    <t>Mock State Case 4.3</t>
  </si>
  <si>
    <t>หลังมีมติแล้วกด ส่งกลับเข้าสายพิจารณาปกติ</t>
  </si>
  <si>
    <t>1 บันทึกมติยืนคำสั่งเดิม
2 กด ส่งกลับเข้าสายพิจารณาปกติ</t>
  </si>
  <si>
    <t>มติเป็นที่สุด ไม่มีปุ่มนี้ (ไม่มีในผัง 09B)</t>
  </si>
  <si>
    <t>เปิดเรื่องกลับได้ และปุ่มแสดงทุกขั้น</t>
  </si>
  <si>
    <t>หลังมีมติอุทธรณ์ยังเปิดเรื่องกลับได้</t>
  </si>
  <si>
    <t>ผลจริง: เปิดเรื่องกลับได้ และปุ่มแสดงทุกขั้น
ผลที่ควรได้: มติเป็นที่สุด ไม่มีปุ่มนี้ (ไม่มีในผัง 09B)</t>
  </si>
  <si>
    <t>URL: https://pacc-a6.teerut-s.workers.dev/appeal-folder/WP-2569-000501
บทบาท: คณะกรรมการ ป.ป.ท.
ข้อมูล: Mock State Case 4.3</t>
  </si>
  <si>
    <t>เอาปุ่ม ส่งกลับเข้าสายพิจารณาปกติ ออก หรือซ่อนหลังมีมติ</t>
  </si>
  <si>
    <t>มติเปลี่ยนคำสั่งเป็นอนุมัติ</t>
  </si>
  <si>
    <t>1 บันทึกมติเปลี่ยนคำสั่ง
2 เจ้าหน้าที่ออกหนังสือแจ้งผล</t>
  </si>
  <si>
    <t>แฟ้มเข้าเส้นทาง คบ.9 (08A)</t>
  </si>
  <si>
    <t>เข้าเส้นทาง คบ.9</t>
  </si>
  <si>
    <t>ธุรการรับคำอุทธรณ์ (WIT0912)</t>
  </si>
  <si>
    <t>1 สลับเป็นธุรการ
2 เปิดแฟ้ม และเปิด /appeal</t>
  </si>
  <si>
    <t>ธุรการรับคำอุทธรณ์เข้าระบบได้ (ผังระบุ ผู้ยื่น/ธุรการ/เจ้าหน้าที่รับเรื่อง)</t>
  </si>
  <si>
    <t>ต้องตรวจสอบ – ธุรการไม่มีปุ่มรับอุทธรณ์และถูกปฏิเสธหน้า /appeal มีเฉพาะเจ้าหน้าที่ ป.ป.ท. ต้องยืนยันว่าธุรการต้องรับได้หรือไม่</t>
  </si>
  <si>
    <t>รายงาน คบ.13 (10)</t>
  </si>
  <si>
    <t>Mock State Case 1.13</t>
  </si>
  <si>
    <t>เจ้าหน้าที่ / พยาน / ผบช.</t>
  </si>
  <si>
    <t>รอบรายงาน คบ.13 ครบวงจร</t>
  </si>
  <si>
    <t>1 ตั้งรอบ เปิดรอบ จัดทำ ลงนาม
2 ตรวจรับ ประเมิน
3 เปิดรอบใหม่ (WIT1012)</t>
  </si>
  <si>
    <t>ครบตามผัง 10</t>
  </si>
  <si>
    <t>ทบทวน (11A)</t>
  </si>
  <si>
    <t>Mock State Case 1.14</t>
  </si>
  <si>
    <t>เจ้าหน้าที่ / ผบช.</t>
  </si>
  <si>
    <t>WIT1108 คุ้มครองต่อ</t>
  </si>
  <si>
    <t>1 เลือก WIT1108 เสนอ
2 ผบช. เห็นชอบ
3 ดำเนินการตามแนวทาง</t>
  </si>
  <si>
    <t>มีทางกลับแท็บ 10</t>
  </si>
  <si>
    <t>มีลิงก์กลับแท็บ 10</t>
  </si>
  <si>
    <t>WIT1111 เข้าสู่การยุติ</t>
  </si>
  <si>
    <t>1 เลือก WIT1111 เสนอ
2 ผบช. เห็นชอบ
3 ดำเนินการ แล้วเปิดหน้ายุติ</t>
  </si>
  <si>
    <t>ไป 11C จัดทำ คบ.15</t>
  </si>
  <si>
    <t>สถานะ เข้าสู่กระบวนการยุติ หน้า ยุติการคุ้มครอง พร้อมจัดทำ คบ.15</t>
  </si>
  <si>
    <t>Mock State Case 1.14 (สะสม 1/180 วัน)</t>
  </si>
  <si>
    <t>WIT1149 ข้อ 14 ทั้งที่ยังไม่ครบเพดาน</t>
  </si>
  <si>
    <t>1 เลือก WIT1149 เสนอ
2 ผบช. เห็นชอบ
3 ดำเนินการ แล้วเปิดหน้า ข้อ 14</t>
  </si>
  <si>
    <t>เลือกไม่ได้ถ้ายังไม่ครบ 180 วัน หรือถ้าเลือกได้ต้องไปต่อที่ 08C ได้</t>
  </si>
  <si>
    <t>เลือก WIT1149 ได้ แต่ไปต่อที่ข้อ 14 ไม่ได้</t>
  </si>
  <si>
    <t>URL: https://pacc-a6.teerut-s.workers.dev/article14
บทบาท: เจ้าหน้าที่ / ผบช.
ข้อมูล: Mock State Case 1.14 (สะสม 1/180 วัน)</t>
  </si>
  <si>
    <t>ล็อก WIT1149 จนครบ 180 วัน หรือส่งแฟ้มเข้า 08C ให้ได้</t>
  </si>
  <si>
    <t>WIT1110 เปลี่ยนวิธี</t>
  </si>
  <si>
    <t>เสนออนุมัติ ปรับ คบ.11 แล้วไป 08A/08B</t>
  </si>
  <si>
    <t>WIT1109 ขยายเวลา → ไป 11B</t>
  </si>
  <si>
    <t>1 เลือก WIT1109 เสนอ
2 ผบช. เห็นชอบ
3 กด ดำเนินการตามแนวทางที่เห็นชอบ</t>
  </si>
  <si>
    <t>มีปุ่มไปแท็บ 11B จัดทำ คบ.14</t>
  </si>
  <si>
    <t>ขยายเวลา (11B)</t>
  </si>
  <si>
    <t>เลือกขยายเวลาแล้ว</t>
  </si>
  <si>
    <t>คบ.14 ส่งคืน / ไม่อนุมัติ</t>
  </si>
  <si>
    <t>1 ขอเกิน 60 วัน
2 ผบช. ส่งคืน แล้วแก้เวอร์ชันใหม่
3 เลขาธิการไม่อนุมัติ</t>
  </si>
  <si>
    <t>เกินเพดานถูกบล็อก ไม่อนุมัติแล้วไป 11C</t>
  </si>
  <si>
    <t>ทำงานตามผัง มีลิงก์ 11C</t>
  </si>
  <si>
    <t>คบ.14 อนุมัติ (WIT1122)</t>
  </si>
  <si>
    <t>1 จัดทำ คบ.14 และส่งตรวจ
2 ผบช. กด ครบถ้วน · เสนอตามลำดับชั้น
3 เลขาธิการกด อนุมัติขยายเวลา</t>
  </si>
  <si>
    <t>ล็อกฉบับลงนาม แล้วกลับแท็บ 10</t>
  </si>
  <si>
    <t>สถานะ ขยายระยะเวลาแล้ว ปุ่มกลับแท็บ 10 ไปหน้า คบ.13 ถูกต้อง</t>
  </si>
  <si>
    <t>ยุติ (11C)</t>
  </si>
  <si>
    <t>Mock State Case 1.15</t>
  </si>
  <si>
    <t>เจ้าหน้าที่ / ผบช. / ผู้มีอำนาจ</t>
  </si>
  <si>
    <t>คบ.15 ส่งคืน / ไม่อนุมัติยุติ</t>
  </si>
  <si>
    <t>1 ผบช. ส่งคืน แก้เวอร์ชันใหม่ เสนอ
2 ผู้มีอำนาจไม่อนุมัติ</t>
  </si>
  <si>
    <t>คุ้มครองต่อ กลับแท็บ 10</t>
  </si>
  <si>
    <t>ทำงานตามผัง มีลิงก์กลับแท็บ 10</t>
  </si>
  <si>
    <t>ยุติ (11D)</t>
  </si>
  <si>
    <t>ผอ. / เลขาธิการ / เจ้าหน้าที่</t>
  </si>
  <si>
    <t>อนุมัติยุติ → คบ.16 / คบ.17 → ปิดงาน</t>
  </si>
  <si>
    <t>1 อนุมัติยุติ ร่างและลงนาม คบ.16
2 คบ.17 ลงนาม นำส่ง บันทึกรับ
3 กดปิดงาน / มีอุทธรณ์</t>
  </si>
  <si>
    <t>ปิดงานได้เมื่อพ้น 30 วัน มีอุทธรณ์ไป 09B</t>
  </si>
  <si>
    <t>ปิดงานล็อกในกรอบ 30 วัน มีลิงก์ 09B</t>
  </si>
  <si>
    <t>ข้อมูลคำสั่ง คบ.16 หลังลงนาม</t>
  </si>
  <si>
    <t>1 กรอกคำสั่งที่ คส.QA-001/2569 วันที่ออก/มีผล 28/09/2569
2 ลงนาม คบ.16</t>
  </si>
  <si>
    <t>แสดงเลขคำสั่งและวันที่มีผลตามที่กรอก</t>
  </si>
  <si>
    <t>เมนู / การนำทาง</t>
  </si>
  <si>
    <t>ทุกสถานะ</t>
  </si>
  <si>
    <t>เมนูด้านข้างทุกเมนู</t>
  </si>
  <si>
    <t>1 กดเมนูด้านข้างทีละเมนู (15 เมนู)</t>
  </si>
  <si>
    <t>เปิดหน้าตรงชื่อเมนู</t>
  </si>
  <si>
    <t>เปิดตรงหน้าทุกเมนู ยกเว้น คบ.13</t>
  </si>
  <si>
    <t>เมนู รายงานผลการคุ้มครอง (คบ.13)</t>
  </si>
  <si>
    <t>1 กดเมนู รายงานผลการคุ้มครอง (คบ.13)</t>
  </si>
  <si>
    <t>เปิดหน้ารายงาน คบ.13</t>
  </si>
  <si>
    <t>ปุ่มกลับจากแบบฟอร์มที่เปิดจากเมนูแบบฟอร์ม</t>
  </si>
  <si>
    <t>1 เมนู แบบฟอร์ม คบ. (1-17)
2 กด เปิดแบบฟอร์ม
3 กด กลับทะเบียน</t>
  </si>
  <si>
    <t>กลับหน้ารายการแบบฟอร์ม</t>
  </si>
  <si>
    <t>ผอ. ข้ามขั้นไม่ได้ และส่งกลับให้เจ้าหน้าที่เลือกวิธีได้</t>
  </si>
  <si>
    <t>ส่งถึง ผอ. ได้ แต่ ผอ. มีกล่องเตือน WIT0606→0609 ปุ่มส่งรองเลขาฯ ล็อก และกด ส่งกลับแก้ไข กลับไปเจ้าหน้าที่ได้ (โฟลวไม่ตัน)</t>
  </si>
  <si>
    <t>1 กด อนุมัติและลงนามคำสั่ง
2 แก้เลขแฟ้มเป็น WP-2569-999999
3 กด ยืนยันและส่งผล</t>
  </si>
  <si>
    <t>ตรวจเลขแฟ้ม แจ้งเตือนเมื่อไม่ตรง และบันทึก Audit Log (WIT0703) แล้วไป WIT0704</t>
  </si>
  <si>
    <t>ขึ้นเตือนเลขแฟ้มไม่ตรง ส่งไม่ได้จนกว่าติ๊กยืนยันผูกแฟ้ม (บันทึก Audit Log) ตรงตามผัง</t>
  </si>
  <si>
    <t>บันทึกผลตอบกลับของหน่วยงานได้ตามขั้นตอน</t>
  </si>
  <si>
    <t>ปุ่ม ตอบรับดำเนินการ ใช้บันทึกผลตอบรับของหน่วยงาน (จำลองกรณีได้รับอนุมัติ) ไม่ถือเป็น Defect</t>
  </si>
  <si>
    <t>ต้องตรวจสอบ – ไม่มีขั้นบันทึกหนังสือตอบรับจากกรม (WIT0860) ส่งมอบได้ทันทีหลังหนังสือขาออก แต่หนังสือตอบรับมาจากกรมคุ้มครองสิทธิและเสรีภาพซึ่งอยู่นอกระบบ ป.ป.ท. ต้องยืนยันว่าจะให้บันทึกขั้นนี้ในระบบหรือไม่</t>
  </si>
  <si>
    <t>ต้องตรวจสอบ – ผบช. มีปุ่มเสนอรองเลขาธิการฯ ข้ามขั้น ผอ. (WIT0916) และ ผอ. เข้าหน้าอุทธรณ์ไม่ได้ ต้องยืนยันลำดับขั้นแฟ้มอุทธรณ์กับผู้ออกแบบ</t>
  </si>
  <si>
    <t>เลือกและเห็นชอบได้ มีปุ่มไปแท็บ 08C แต่หน้าข้อ 14 ขึ้น ยังไม่มีสำนวนที่เข้าเงื่อนไข เดินต่อไม่ได้</t>
  </si>
  <si>
    <t>ผลจริง: เลือกและเห็นชอบได้ มีปุ่มไปแท็บ 08C แต่หน้าข้อ 14 ขึ้น ยังไม่มีสำนวนที่เข้าเงื่อนไข เดินต่อไม่ได้
ผลที่ควรได้: เลือกไม่ได้ถ้ายังไม่ครบ 180 วัน หรือถ้าเลือกได้ต้องไปต่อที่ 08C ได้</t>
  </si>
  <si>
    <t>1 เลือก WIT1110 เสนอ ผบช. เห็นชอบ ดำเนินการ
2 กด เสนอเปลี่ยนวิธีตามลำดับชั้น → ผบช. เสนอ ผอ. → ผอ. อนุมัติเปลี่ยนวิธีและปรับ คบ.11
3 กด ไปเส้นทางปฏิบัติ 08A/08B</t>
  </si>
  <si>
    <t>ทดสอบซ้ำ: เดินได้ครบ ผอ. อนุมัติแล้วมีปุ่มปรับ คบ.11/คบ.8 และไป 08A บันทึกความยินยอมใหม่และเปิดวิธีได้</t>
  </si>
  <si>
    <t>ต้องตรวจสอบ – หลังดำเนินการ WIT1109 ไม่มีปุ่มไปแท็บ 11B (แนวทางอื่นมี) แต่ไปทางเมนู ขยายเวลา (คบ.14) ได้ ทำงานต่อได้</t>
  </si>
  <si>
    <t>ต้องตรวจสอบ – หลังลงนามแสดง คำสั่งที่ — / มีผลวันที่ undefined แต่ขั้นตอน 11D เดินต่อจนปิดงานได้ ต้องยืนยันว่าข้อมูลคำสั่งมีผลต่อขั้นถัดไปหรือไม่</t>
  </si>
  <si>
    <t>ต้องตรวจสอบ – เมนูเปิดหน้าภาพรวมก่อน แต่ในหน้านั้นมีปุ่ม ติดตาม คบ.13 ของแต่ละแฟ้ม เข้าได้</t>
  </si>
  <si>
    <t>ต้องตรวจสอบ – ปุ่มชื่อ กลับทะเบียน พาไปหน้าทะเบียนตามชื่อปุ่ม ไม่มีปุ่มกลับหน้ารายการแบบฟอร์ม</t>
  </si>
  <si>
    <t>ปวริศร์</t>
  </si>
  <si>
    <t>ทดสอบ Prototype คุ้มครองพยาน</t>
  </si>
  <si>
    <t>บันทึกการทดสอบ Prototype คุ้มครองพยาน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</si>
</sst>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4">
    <font>
      <sz val="11"/>
      <name val="Carlito"/>
    </font>
    <font>
      <sz val="11"/>
      <color rgb="FF263445"/>
      <name val="Arial"/>
    </font>
    <font>
      <b/>
      <sz val="16"/>
      <color rgb="FF263445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44766"/>
      </patternFill>
    </fill>
    <fill>
      <patternFill patternType="solid">
        <fgColor rgb="FFFFF5D6"/>
      </patternFill>
    </fill>
    <fill>
      <patternFill patternType="solid">
        <fgColor rgb="FFFFF5D6"/>
      </patternFill>
    </fill>
    <fill>
      <patternFill patternType="solid">
        <fgColor rgb="FF244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22" fontId="1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9C0006"/>
      </font>
      <fill>
        <patternFill>
          <bgColor rgb="FFFCE4E4"/>
        </patternFill>
      </fill>
    </dxf>
    <dxf>
      <fill>
        <patternFill>
          <bgColor rgb="FFE2EFDA"/>
        </patternFill>
      </fill>
    </dxf>
    <dxf>
      <fill>
        <patternFill>
          <bgColor rgb="FFFFE4BB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" displayName="TestCases" ref="A5:O81" totalsRowShown="0">
  <autoFilter ref="A5:O81" xr:uid="{00000000-0009-0000-0100-000001000000}"/>
  <tableColumns count="15">
    <tableColumn id="1" xr3:uid="{00000000-0010-0000-0000-000001000000}" name="รหัส"/>
    <tableColumn id="2" xr3:uid="{00000000-0010-0000-0000-000002000000}" name="หมวด"/>
    <tableColumn id="3" xr3:uid="{00000000-0010-0000-0000-000003000000}" name="State เริ่มต้น"/>
    <tableColumn id="4" xr3:uid="{00000000-0010-0000-0000-000004000000}" name="บทบาท"/>
    <tableColumn id="5" xr3:uid="{00000000-0010-0000-0000-000005000000}" name="สิ่งที่ทดสอบ"/>
    <tableColumn id="6" xr3:uid="{00000000-0010-0000-0000-000006000000}" name="ขั้นตอนทดสอบ"/>
    <tableColumn id="7" xr3:uid="{00000000-0010-0000-0000-000007000000}" name="ผลที่ควรได้"/>
    <tableColumn id="8" xr3:uid="{00000000-0010-0000-0000-000008000000}" name="ลำดับทดสอบ"/>
    <tableColumn id="9" xr3:uid="{00000000-0010-0000-0000-000009000000}" name="ผลทดสอบ"/>
    <tableColumn id="10" xr3:uid="{00000000-0010-0000-0000-00000A000000}" name="ผลที่เกิดจริง"/>
    <tableColumn id="11" xr3:uid="{00000000-0010-0000-0000-00000B000000}" name="รหัสปัญหา"/>
    <tableColumn id="12" xr3:uid="{00000000-0010-0000-0000-00000C000000}" name="ลิงก์ภาพ/หลักฐาน"/>
    <tableColumn id="13" xr3:uid="{00000000-0010-0000-0000-00000D000000}" name="ผู้ทดสอบ"/>
    <tableColumn id="14" xr3:uid="{00000000-0010-0000-0000-00000E000000}" name="วันที่ทดสอบ"/>
    <tableColumn id="15" xr3:uid="{00000000-0010-0000-0000-00000F000000}" name="ผลทดสอบซ้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sues" displayName="Issues" ref="A5:O47" totalsRowShown="0">
  <autoFilter ref="A5:O47" xr:uid="{00000000-0009-0000-0100-000002000000}"/>
  <tableColumns count="15">
    <tableColumn id="1" xr3:uid="{00000000-0010-0000-0100-000001000000}" name="รหัสปัญหา"/>
    <tableColumn id="2" xr3:uid="{00000000-0010-0000-0100-000002000000}" name="รหัสทดสอบ"/>
    <tableColumn id="3" xr3:uid="{00000000-0010-0000-0100-000003000000}" name="หน้า/ขั้นตอน"/>
    <tableColumn id="4" xr3:uid="{00000000-0010-0000-0100-000004000000}" name="หัวข้อปัญหา"/>
    <tableColumn id="5" xr3:uid="{00000000-0010-0000-0100-000005000000}" name="วิธีทำให้เกิดซ้ำ"/>
    <tableColumn id="6" xr3:uid="{00000000-0010-0000-0100-000006000000}" name="ผลจริงและผลที่ควรได้"/>
    <tableColumn id="7" xr3:uid="{00000000-0010-0000-0100-000007000000}" name="หลักฐาน"/>
    <tableColumn id="8" xr3:uid="{00000000-0010-0000-0100-000008000000}" name="ความรุนแรง"/>
    <tableColumn id="9" xr3:uid="{00000000-0010-0000-0100-000009000000}" name="ลำดับแก้"/>
    <tableColumn id="10" xr3:uid="{00000000-0010-0000-0100-00000A000000}" name="ข้อเสนอแก้ไข"/>
    <tableColumn id="11" xr3:uid="{00000000-0010-0000-0100-00000B000000}" name="ผู้รับผิดชอบ"/>
    <tableColumn id="12" xr3:uid="{00000000-0010-0000-0100-00000C000000}" name="สถานะงาน"/>
    <tableColumn id="13" xr3:uid="{00000000-0010-0000-0100-00000D000000}" name="กำหนดเสร็จ"/>
    <tableColumn id="14" xr3:uid="{00000000-0010-0000-0100-00000E000000}" name="ผลทดสอบซ้ำ"/>
    <tableColumn id="15" xr3:uid="{00000000-0010-0000-0100-00000F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66"/>
  </sheetPr>
  <dimension ref="A1:F36"/>
  <sheetViews>
    <sheetView showGridLines="0" tabSelected="1" workbookViewId="0">
      <selection activeCell="A2" sqref="A2"/>
    </sheetView>
  </sheetViews>
  <sheetFormatPr defaultRowHeight="13.8"/>
  <cols>
    <col min="1" max="1" width="37" customWidth="1"/>
    <col min="2" max="6" width="23" customWidth="1"/>
  </cols>
  <sheetData>
    <row r="1" spans="1:6" ht="24" customHeight="1">
      <c r="A1" s="1"/>
      <c r="B1" s="1"/>
      <c r="C1" s="1"/>
      <c r="D1" s="1"/>
      <c r="E1" s="1"/>
      <c r="F1" s="1"/>
    </row>
    <row r="2" spans="1:6" ht="24" customHeight="1">
      <c r="A2" s="2" t="s">
        <v>496</v>
      </c>
      <c r="B2" s="1"/>
      <c r="C2" s="1"/>
      <c r="D2" s="1"/>
      <c r="E2" s="1"/>
      <c r="F2" s="1"/>
    </row>
    <row r="3" spans="1:6" ht="24" customHeight="1">
      <c r="A3" s="1"/>
      <c r="B3" s="1"/>
      <c r="C3" s="1"/>
      <c r="D3" s="1"/>
      <c r="E3" s="1"/>
      <c r="F3" s="1"/>
    </row>
    <row r="4" spans="1:6" ht="24" customHeight="1">
      <c r="A4" s="3" t="s">
        <v>0</v>
      </c>
      <c r="B4" s="3" t="s">
        <v>1</v>
      </c>
      <c r="C4" s="1"/>
      <c r="D4" s="3" t="s">
        <v>2</v>
      </c>
      <c r="E4" s="3" t="s">
        <v>1</v>
      </c>
      <c r="F4" s="1"/>
    </row>
    <row r="5" spans="1:6" ht="24" customHeight="1">
      <c r="A5" s="1" t="s">
        <v>3</v>
      </c>
      <c r="B5" s="1">
        <f>COUNTA(รายการทดสอบ!A6:A81)</f>
        <v>53</v>
      </c>
      <c r="C5" s="1"/>
      <c r="D5" s="1" t="s">
        <v>4</v>
      </c>
      <c r="E5" s="1">
        <f>COUNTA(รายการแก้ไข!A6:A60)</f>
        <v>7</v>
      </c>
      <c r="F5" s="1"/>
    </row>
    <row r="6" spans="1:6" ht="24" customHeight="1">
      <c r="A6" s="1" t="s">
        <v>5</v>
      </c>
      <c r="B6" s="1">
        <f>COUNTIFS(รายการทดสอบ!$A$6:$A$81,"&lt;&gt;",รายการทดสอบ!$I$6:$I$81,"ผ่าน")</f>
        <v>38</v>
      </c>
      <c r="C6" s="1"/>
      <c r="D6" s="1" t="s">
        <v>6</v>
      </c>
      <c r="E6" s="1">
        <f>COUNTIFS(รายการแก้ไข!A6:A60,"&lt;&gt;",รายการแก้ไข!L6:L60,"ปิดแล้ว")</f>
        <v>0</v>
      </c>
      <c r="F6" s="1"/>
    </row>
    <row r="7" spans="1:6" ht="24" customHeight="1">
      <c r="A7" s="1" t="s">
        <v>7</v>
      </c>
      <c r="B7" s="1">
        <f>COUNTIFS(รายการทดสอบ!$A$6:$A$81,"&lt;&gt;",รายการทดสอบ!$I$6:$I$81,"ไม่ผ่าน")</f>
        <v>7</v>
      </c>
      <c r="C7" s="1"/>
      <c r="D7" s="1" t="s">
        <v>8</v>
      </c>
      <c r="E7" s="1">
        <f>E5-E6</f>
        <v>7</v>
      </c>
      <c r="F7" s="1"/>
    </row>
    <row r="8" spans="1:6" ht="24" customHeight="1">
      <c r="A8" s="1" t="s">
        <v>9</v>
      </c>
      <c r="B8" s="1">
        <f>COUNTIFS(รายการทดสอบ!$A$6:$A$81,"&lt;&gt;",รายการทดสอบ!$I$6:$I$81,"ติดขัด")</f>
        <v>8</v>
      </c>
      <c r="C8" s="1"/>
      <c r="D8" s="1"/>
      <c r="E8" s="1"/>
      <c r="F8" s="1"/>
    </row>
    <row r="9" spans="1:6" ht="24" customHeight="1">
      <c r="A9" s="1" t="s">
        <v>10</v>
      </c>
      <c r="B9" s="1">
        <f>B5-SUM(B6:B8)-SUM(B10:B11)</f>
        <v>0</v>
      </c>
      <c r="C9" s="1"/>
      <c r="D9" s="1"/>
      <c r="E9" s="1"/>
      <c r="F9" s="1"/>
    </row>
    <row r="10" spans="1:6" ht="24" customHeight="1">
      <c r="A10" s="1" t="s">
        <v>11</v>
      </c>
      <c r="B10" s="1">
        <f>COUNTIFS(รายการทดสอบ!$A$6:$A$81,"&lt;&gt;",รายการทดสอบ!$I$6:$I$81,"กำลังทดสอบ")</f>
        <v>0</v>
      </c>
      <c r="C10" s="1"/>
      <c r="D10" s="1"/>
      <c r="E10" s="1"/>
      <c r="F10" s="1"/>
    </row>
    <row r="11" spans="1:6" ht="24" customHeight="1">
      <c r="A11" s="1" t="s">
        <v>12</v>
      </c>
      <c r="B11" s="1">
        <f>COUNTIFS(รายการทดสอบ!$A$6:$A$81,"&lt;&gt;",รายการทดสอบ!$I$6:$I$81,"ไม่เกี่ยวข้อง")</f>
        <v>0</v>
      </c>
      <c r="C11" s="1"/>
      <c r="D11" s="1"/>
      <c r="E11" s="1"/>
      <c r="F11" s="1"/>
    </row>
    <row r="12" spans="1:6" ht="24" customHeight="1">
      <c r="A12" s="1" t="s">
        <v>13</v>
      </c>
      <c r="B12" s="8">
        <f>IF(SUM(B6:B7)=0,"ยังไม่มีผล",B6/SUM(B6:B7))</f>
        <v>0.84444444444444444</v>
      </c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  <row r="14" spans="1:6" ht="24" customHeight="1">
      <c r="A14" s="1"/>
      <c r="B14" s="1"/>
      <c r="C14" s="1"/>
      <c r="D14" s="1"/>
      <c r="E14" s="1"/>
      <c r="F14" s="1"/>
    </row>
    <row r="15" spans="1:6" ht="49.95" customHeight="1">
      <c r="A15" s="5" t="s">
        <v>14</v>
      </c>
      <c r="B15" s="13" t="s">
        <v>15</v>
      </c>
      <c r="C15" s="13"/>
      <c r="D15" s="13"/>
      <c r="E15" s="13"/>
      <c r="F15" s="13"/>
    </row>
    <row r="16" spans="1:6" ht="49.95" customHeight="1">
      <c r="A16" s="5" t="s">
        <v>16</v>
      </c>
      <c r="B16" s="13" t="s">
        <v>17</v>
      </c>
      <c r="C16" s="13"/>
      <c r="D16" s="13"/>
      <c r="E16" s="13"/>
      <c r="F16" s="13"/>
    </row>
    <row r="17" spans="1:6" ht="49.95" customHeight="1">
      <c r="A17" s="5" t="s">
        <v>18</v>
      </c>
      <c r="B17" s="13" t="s">
        <v>19</v>
      </c>
      <c r="C17" s="13"/>
      <c r="D17" s="13"/>
      <c r="E17" s="13"/>
      <c r="F17" s="13"/>
    </row>
    <row r="18" spans="1:6" ht="49.95" customHeight="1">
      <c r="A18" s="5" t="s">
        <v>20</v>
      </c>
      <c r="B18" s="13" t="s">
        <v>21</v>
      </c>
      <c r="C18" s="13"/>
      <c r="D18" s="13"/>
      <c r="E18" s="13"/>
      <c r="F18" s="13"/>
    </row>
    <row r="19" spans="1:6" ht="49.95" customHeight="1">
      <c r="A19" s="5" t="s">
        <v>22</v>
      </c>
      <c r="B19" s="13" t="s">
        <v>23</v>
      </c>
      <c r="C19" s="13"/>
      <c r="D19" s="13"/>
      <c r="E19" s="13"/>
      <c r="F19" s="13"/>
    </row>
    <row r="20" spans="1:6" ht="49.95" customHeight="1">
      <c r="A20" s="5" t="s">
        <v>24</v>
      </c>
      <c r="B20" s="13" t="s">
        <v>25</v>
      </c>
      <c r="C20" s="13"/>
      <c r="D20" s="13"/>
      <c r="E20" s="13"/>
      <c r="F20" s="13"/>
    </row>
    <row r="21" spans="1:6" ht="24" customHeight="1">
      <c r="A21" s="5" t="s">
        <v>26</v>
      </c>
      <c r="B21" s="15" t="s">
        <v>161</v>
      </c>
      <c r="C21" s="15"/>
      <c r="D21" s="15"/>
      <c r="E21" s="15"/>
      <c r="F21" s="15"/>
    </row>
    <row r="22" spans="1:6" ht="24" customHeight="1">
      <c r="A22" s="5" t="s">
        <v>27</v>
      </c>
      <c r="B22" s="15" t="s">
        <v>159</v>
      </c>
      <c r="C22" s="15"/>
      <c r="D22" s="15"/>
      <c r="E22" s="15"/>
      <c r="F22" s="15"/>
    </row>
    <row r="23" spans="1:6" ht="24" customHeight="1">
      <c r="A23" s="5" t="s">
        <v>28</v>
      </c>
      <c r="B23" s="15" t="s">
        <v>160</v>
      </c>
      <c r="C23" s="15"/>
      <c r="D23" s="15"/>
      <c r="E23" s="15"/>
      <c r="F23" s="15"/>
    </row>
    <row r="24" spans="1:6" ht="24" customHeight="1">
      <c r="A24" s="5" t="s">
        <v>29</v>
      </c>
      <c r="B24" s="16">
        <v>46289.000011574077</v>
      </c>
      <c r="C24" s="15"/>
      <c r="D24" s="15"/>
      <c r="E24" s="15"/>
      <c r="F24" s="15"/>
    </row>
    <row r="25" spans="1:6" ht="24" customHeight="1">
      <c r="A25" s="1" t="s">
        <v>30</v>
      </c>
      <c r="B25" s="14" t="s">
        <v>158</v>
      </c>
      <c r="C25" s="14"/>
      <c r="D25" s="14"/>
      <c r="E25" s="14"/>
      <c r="F25" s="14"/>
    </row>
    <row r="26" spans="1:6" ht="24" customHeight="1">
      <c r="A26" s="1"/>
      <c r="B26" s="1"/>
      <c r="C26" s="1"/>
      <c r="D26" s="1"/>
      <c r="E26" s="1"/>
      <c r="F26" s="1"/>
    </row>
    <row r="27" spans="1:6" ht="24" customHeight="1">
      <c r="A27" s="1" t="s">
        <v>31</v>
      </c>
      <c r="B27" s="13" t="s">
        <v>32</v>
      </c>
      <c r="C27" s="13"/>
      <c r="D27" s="13"/>
      <c r="E27" s="13"/>
      <c r="F27" s="13"/>
    </row>
    <row r="28" spans="1:6" ht="24" customHeight="1">
      <c r="A28" s="1"/>
      <c r="B28" s="13"/>
      <c r="C28" s="13"/>
      <c r="D28" s="13"/>
      <c r="E28" s="13"/>
      <c r="F28" s="13"/>
    </row>
    <row r="29" spans="1:6" ht="24" customHeight="1">
      <c r="A29" s="1"/>
      <c r="B29" s="1"/>
      <c r="C29" s="1"/>
      <c r="D29" s="1"/>
      <c r="E29" s="1"/>
      <c r="F29" s="1"/>
    </row>
    <row r="30" spans="1:6" ht="24" customHeight="1">
      <c r="A30" s="1"/>
      <c r="B30" s="1"/>
      <c r="C30" s="1"/>
      <c r="D30" s="1"/>
      <c r="E30" s="1"/>
      <c r="F30" s="1"/>
    </row>
    <row r="31" spans="1:6" ht="24" customHeight="1">
      <c r="A31" s="1"/>
      <c r="B31" s="1"/>
      <c r="C31" s="1"/>
      <c r="D31" s="1"/>
      <c r="E31" s="1"/>
      <c r="F31" s="1"/>
    </row>
    <row r="32" spans="1:6" ht="24" customHeight="1">
      <c r="A32" s="1"/>
      <c r="B32" s="1"/>
      <c r="C32" s="1"/>
      <c r="D32" s="1"/>
      <c r="E32" s="1"/>
      <c r="F32" s="1"/>
    </row>
    <row r="33" spans="1:6" ht="24" customHeight="1">
      <c r="A33" s="1"/>
      <c r="B33" s="1"/>
      <c r="C33" s="1"/>
      <c r="D33" s="1"/>
      <c r="E33" s="1"/>
      <c r="F33" s="1"/>
    </row>
    <row r="34" spans="1:6" ht="24" customHeight="1">
      <c r="A34" s="1"/>
      <c r="B34" s="1"/>
      <c r="C34" s="1"/>
      <c r="D34" s="1"/>
      <c r="E34" s="1"/>
      <c r="F34" s="1"/>
    </row>
    <row r="35" spans="1:6" ht="24" customHeight="1">
      <c r="A35" s="1"/>
      <c r="B35" s="1"/>
      <c r="C35" s="1"/>
      <c r="D35" s="1"/>
      <c r="E35" s="1"/>
      <c r="F35" s="1"/>
    </row>
    <row r="36" spans="1:6" ht="24" customHeight="1">
      <c r="A36" s="1"/>
      <c r="B36" s="1"/>
      <c r="C36" s="1"/>
      <c r="D36" s="1"/>
      <c r="E36" s="1"/>
      <c r="F36" s="1"/>
    </row>
  </sheetData>
  <mergeCells count="12">
    <mergeCell ref="B27:F28"/>
    <mergeCell ref="B25:F25"/>
    <mergeCell ref="B20:F20"/>
    <mergeCell ref="B21:F21"/>
    <mergeCell ref="B22:F22"/>
    <mergeCell ref="B23:F23"/>
    <mergeCell ref="B24:F24"/>
    <mergeCell ref="B15:F15"/>
    <mergeCell ref="B16:F16"/>
    <mergeCell ref="B17:F17"/>
    <mergeCell ref="B18:F18"/>
    <mergeCell ref="B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766"/>
  </sheetPr>
  <dimension ref="A1:O81"/>
  <sheetViews>
    <sheetView showGridLines="0" workbookViewId="0">
      <pane xSplit="2" ySplit="5" topLeftCell="C27" activePane="bottomRight" state="frozen"/>
      <selection pane="topRight"/>
      <selection pane="bottomLeft"/>
      <selection pane="bottomRight" activeCell="B21" sqref="B21"/>
    </sheetView>
  </sheetViews>
  <sheetFormatPr defaultRowHeight="13.8"/>
  <cols>
    <col min="1" max="1" width="12" customWidth="1"/>
    <col min="2" max="2" width="21" customWidth="1"/>
    <col min="3" max="3" width="24" customWidth="1"/>
    <col min="4" max="4" width="26" customWidth="1"/>
    <col min="5" max="5" width="35" customWidth="1"/>
    <col min="6" max="6" width="55" customWidth="1"/>
    <col min="7" max="7" width="60" customWidth="1"/>
    <col min="8" max="8" width="14" customWidth="1"/>
    <col min="9" max="9" width="17" customWidth="1"/>
    <col min="10" max="10" width="44" customWidth="1"/>
    <col min="11" max="11" width="15" customWidth="1"/>
    <col min="12" max="12" width="35" customWidth="1"/>
    <col min="13" max="13" width="22" customWidth="1"/>
    <col min="14" max="14" width="17" customWidth="1"/>
    <col min="15" max="15" width="18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2" t="s">
        <v>497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" customHeight="1">
      <c r="A3" s="1" t="s">
        <v>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7.950000000000003" customHeight="1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  <c r="O5" s="4" t="s">
        <v>48</v>
      </c>
    </row>
    <row r="6" spans="1:15" ht="109.95" customHeight="1">
      <c r="A6" s="9" t="s">
        <v>67</v>
      </c>
      <c r="B6" s="9" t="s">
        <v>199</v>
      </c>
      <c r="C6" s="9" t="s">
        <v>200</v>
      </c>
      <c r="D6" s="9" t="s">
        <v>156</v>
      </c>
      <c r="E6" s="9" t="s">
        <v>201</v>
      </c>
      <c r="F6" s="9" t="s">
        <v>202</v>
      </c>
      <c r="G6" s="9" t="s">
        <v>203</v>
      </c>
      <c r="H6" s="9" t="s">
        <v>75</v>
      </c>
      <c r="I6" s="9" t="s">
        <v>5</v>
      </c>
      <c r="J6" s="9" t="s">
        <v>204</v>
      </c>
      <c r="K6" s="9"/>
      <c r="L6" s="9" t="s">
        <v>108</v>
      </c>
      <c r="M6" s="12" t="s">
        <v>495</v>
      </c>
      <c r="N6" s="10">
        <v>46293</v>
      </c>
      <c r="O6" s="9"/>
    </row>
    <row r="7" spans="1:15" ht="109.95" customHeight="1">
      <c r="A7" s="9" t="s">
        <v>95</v>
      </c>
      <c r="B7" s="9" t="s">
        <v>199</v>
      </c>
      <c r="C7" s="9" t="s">
        <v>205</v>
      </c>
      <c r="D7" s="9" t="s">
        <v>105</v>
      </c>
      <c r="E7" s="9" t="s">
        <v>206</v>
      </c>
      <c r="F7" s="9" t="s">
        <v>207</v>
      </c>
      <c r="G7" s="9" t="s">
        <v>208</v>
      </c>
      <c r="H7" s="9" t="s">
        <v>75</v>
      </c>
      <c r="I7" s="9" t="s">
        <v>5</v>
      </c>
      <c r="J7" s="9" t="s">
        <v>209</v>
      </c>
      <c r="K7" s="9"/>
      <c r="L7" s="9" t="s">
        <v>108</v>
      </c>
      <c r="M7" s="12" t="s">
        <v>495</v>
      </c>
      <c r="N7" s="10">
        <v>46293</v>
      </c>
      <c r="O7" s="9"/>
    </row>
    <row r="8" spans="1:15" ht="109.95" customHeight="1">
      <c r="A8" s="9" t="s">
        <v>98</v>
      </c>
      <c r="B8" s="9" t="s">
        <v>199</v>
      </c>
      <c r="C8" s="9" t="s">
        <v>205</v>
      </c>
      <c r="D8" s="9" t="s">
        <v>105</v>
      </c>
      <c r="E8" s="9" t="s">
        <v>210</v>
      </c>
      <c r="F8" s="9" t="s">
        <v>211</v>
      </c>
      <c r="G8" s="9" t="s">
        <v>212</v>
      </c>
      <c r="H8" s="9" t="s">
        <v>75</v>
      </c>
      <c r="I8" s="9" t="s">
        <v>5</v>
      </c>
      <c r="J8" s="9" t="s">
        <v>213</v>
      </c>
      <c r="K8" s="9"/>
      <c r="L8" s="9" t="s">
        <v>108</v>
      </c>
      <c r="M8" s="12" t="s">
        <v>495</v>
      </c>
      <c r="N8" s="10">
        <v>46293</v>
      </c>
      <c r="O8" s="9"/>
    </row>
    <row r="9" spans="1:15" ht="109.95" customHeight="1">
      <c r="A9" s="9" t="s">
        <v>101</v>
      </c>
      <c r="B9" s="9" t="s">
        <v>199</v>
      </c>
      <c r="C9" s="9" t="s">
        <v>214</v>
      </c>
      <c r="D9" s="9" t="s">
        <v>156</v>
      </c>
      <c r="E9" s="9" t="s">
        <v>215</v>
      </c>
      <c r="F9" s="9" t="s">
        <v>216</v>
      </c>
      <c r="G9" s="9" t="s">
        <v>217</v>
      </c>
      <c r="H9" s="9" t="s">
        <v>75</v>
      </c>
      <c r="I9" s="9" t="s">
        <v>5</v>
      </c>
      <c r="J9" s="9" t="s">
        <v>218</v>
      </c>
      <c r="K9" s="9"/>
      <c r="L9" s="9" t="s">
        <v>113</v>
      </c>
      <c r="M9" s="12" t="s">
        <v>495</v>
      </c>
      <c r="N9" s="10">
        <v>46293</v>
      </c>
      <c r="O9" s="9"/>
    </row>
    <row r="10" spans="1:15" ht="109.95" customHeight="1">
      <c r="A10" s="9" t="s">
        <v>104</v>
      </c>
      <c r="B10" s="9" t="s">
        <v>199</v>
      </c>
      <c r="C10" s="9" t="s">
        <v>214</v>
      </c>
      <c r="D10" s="9" t="s">
        <v>105</v>
      </c>
      <c r="E10" s="9" t="s">
        <v>219</v>
      </c>
      <c r="F10" s="9" t="s">
        <v>220</v>
      </c>
      <c r="G10" s="9" t="s">
        <v>221</v>
      </c>
      <c r="H10" s="9" t="s">
        <v>134</v>
      </c>
      <c r="I10" s="9" t="s">
        <v>5</v>
      </c>
      <c r="J10" s="9" t="s">
        <v>222</v>
      </c>
      <c r="K10" s="9"/>
      <c r="L10" s="9" t="s">
        <v>223</v>
      </c>
      <c r="M10" s="12" t="s">
        <v>495</v>
      </c>
      <c r="N10" s="10">
        <v>46293</v>
      </c>
      <c r="O10" s="9"/>
    </row>
    <row r="11" spans="1:15" ht="109.95" customHeight="1">
      <c r="A11" s="9" t="s">
        <v>110</v>
      </c>
      <c r="B11" s="9" t="s">
        <v>199</v>
      </c>
      <c r="C11" s="9" t="s">
        <v>205</v>
      </c>
      <c r="D11" s="9" t="s">
        <v>156</v>
      </c>
      <c r="E11" s="9" t="s">
        <v>224</v>
      </c>
      <c r="F11" s="9" t="s">
        <v>225</v>
      </c>
      <c r="G11" s="9" t="s">
        <v>226</v>
      </c>
      <c r="H11" s="9" t="s">
        <v>144</v>
      </c>
      <c r="I11" s="9" t="s">
        <v>5</v>
      </c>
      <c r="J11" s="9" t="s">
        <v>227</v>
      </c>
      <c r="K11" s="9"/>
      <c r="L11" s="9" t="s">
        <v>108</v>
      </c>
      <c r="M11" s="12" t="s">
        <v>495</v>
      </c>
      <c r="N11" s="10">
        <v>46293</v>
      </c>
      <c r="O11" s="9"/>
    </row>
    <row r="12" spans="1:15" ht="109.95" customHeight="1">
      <c r="A12" s="9" t="s">
        <v>117</v>
      </c>
      <c r="B12" s="9" t="s">
        <v>228</v>
      </c>
      <c r="C12" s="9" t="s">
        <v>165</v>
      </c>
      <c r="D12" s="9" t="s">
        <v>150</v>
      </c>
      <c r="E12" s="9" t="s">
        <v>229</v>
      </c>
      <c r="F12" s="9" t="s">
        <v>230</v>
      </c>
      <c r="G12" s="9" t="s">
        <v>231</v>
      </c>
      <c r="H12" s="9" t="s">
        <v>75</v>
      </c>
      <c r="I12" s="9" t="s">
        <v>5</v>
      </c>
      <c r="J12" s="9" t="s">
        <v>232</v>
      </c>
      <c r="K12" s="9"/>
      <c r="L12" s="9" t="s">
        <v>113</v>
      </c>
      <c r="M12" s="12" t="s">
        <v>495</v>
      </c>
      <c r="N12" s="10">
        <v>46293</v>
      </c>
      <c r="O12" s="9"/>
    </row>
    <row r="13" spans="1:15" ht="109.95" customHeight="1">
      <c r="A13" s="9" t="s">
        <v>121</v>
      </c>
      <c r="B13" s="9" t="s">
        <v>233</v>
      </c>
      <c r="C13" s="9" t="s">
        <v>234</v>
      </c>
      <c r="D13" s="9" t="s">
        <v>105</v>
      </c>
      <c r="E13" s="9" t="s">
        <v>235</v>
      </c>
      <c r="F13" s="9" t="s">
        <v>236</v>
      </c>
      <c r="G13" s="9" t="s">
        <v>237</v>
      </c>
      <c r="H13" s="9" t="s">
        <v>75</v>
      </c>
      <c r="I13" s="9" t="s">
        <v>5</v>
      </c>
      <c r="J13" s="9" t="s">
        <v>238</v>
      </c>
      <c r="K13" s="9"/>
      <c r="L13" s="9" t="s">
        <v>239</v>
      </c>
      <c r="M13" s="12" t="s">
        <v>495</v>
      </c>
      <c r="N13" s="10">
        <v>46293</v>
      </c>
      <c r="O13" s="9"/>
    </row>
    <row r="14" spans="1:15" ht="109.95" customHeight="1">
      <c r="A14" s="9" t="s">
        <v>123</v>
      </c>
      <c r="B14" s="9" t="s">
        <v>233</v>
      </c>
      <c r="C14" s="9" t="s">
        <v>240</v>
      </c>
      <c r="D14" s="9" t="s">
        <v>105</v>
      </c>
      <c r="E14" s="9" t="s">
        <v>241</v>
      </c>
      <c r="F14" s="9" t="s">
        <v>242</v>
      </c>
      <c r="G14" s="9" t="s">
        <v>243</v>
      </c>
      <c r="H14" s="9" t="s">
        <v>75</v>
      </c>
      <c r="I14" s="9" t="s">
        <v>5</v>
      </c>
      <c r="J14" s="9" t="s">
        <v>244</v>
      </c>
      <c r="K14" s="9"/>
      <c r="L14" s="9" t="s">
        <v>113</v>
      </c>
      <c r="M14" s="12" t="s">
        <v>495</v>
      </c>
      <c r="N14" s="10">
        <v>46293</v>
      </c>
      <c r="O14" s="9"/>
    </row>
    <row r="15" spans="1:15" ht="109.95" customHeight="1">
      <c r="A15" s="9" t="s">
        <v>125</v>
      </c>
      <c r="B15" s="9" t="s">
        <v>233</v>
      </c>
      <c r="C15" s="9" t="s">
        <v>245</v>
      </c>
      <c r="D15" s="9" t="s">
        <v>105</v>
      </c>
      <c r="E15" s="9" t="s">
        <v>175</v>
      </c>
      <c r="F15" s="9" t="s">
        <v>246</v>
      </c>
      <c r="G15" s="9" t="s">
        <v>247</v>
      </c>
      <c r="H15" s="9" t="s">
        <v>134</v>
      </c>
      <c r="I15" s="9" t="s">
        <v>7</v>
      </c>
      <c r="J15" s="9" t="s">
        <v>248</v>
      </c>
      <c r="K15" s="9" t="s">
        <v>78</v>
      </c>
      <c r="L15" s="9" t="s">
        <v>249</v>
      </c>
      <c r="M15" s="12" t="s">
        <v>495</v>
      </c>
      <c r="N15" s="10">
        <v>46293</v>
      </c>
      <c r="O15" s="9" t="s">
        <v>82</v>
      </c>
    </row>
    <row r="16" spans="1:15" ht="109.95" customHeight="1">
      <c r="A16" s="9" t="s">
        <v>127</v>
      </c>
      <c r="B16" s="9" t="s">
        <v>253</v>
      </c>
      <c r="C16" s="9" t="s">
        <v>254</v>
      </c>
      <c r="D16" s="9" t="s">
        <v>111</v>
      </c>
      <c r="E16" s="9" t="s">
        <v>255</v>
      </c>
      <c r="F16" s="9" t="s">
        <v>256</v>
      </c>
      <c r="G16" s="9" t="s">
        <v>257</v>
      </c>
      <c r="H16" s="9" t="s">
        <v>134</v>
      </c>
      <c r="I16" s="9" t="s">
        <v>7</v>
      </c>
      <c r="J16" s="9" t="s">
        <v>258</v>
      </c>
      <c r="K16" s="9" t="s">
        <v>96</v>
      </c>
      <c r="L16" s="9" t="s">
        <v>249</v>
      </c>
      <c r="M16" s="12" t="s">
        <v>495</v>
      </c>
      <c r="N16" s="10">
        <v>46293</v>
      </c>
      <c r="O16" s="9" t="s">
        <v>82</v>
      </c>
    </row>
    <row r="17" spans="1:15" ht="109.95" customHeight="1">
      <c r="A17" s="9" t="s">
        <v>128</v>
      </c>
      <c r="B17" s="9" t="s">
        <v>253</v>
      </c>
      <c r="C17" s="9" t="s">
        <v>254</v>
      </c>
      <c r="D17" s="9" t="s">
        <v>111</v>
      </c>
      <c r="E17" s="9" t="s">
        <v>263</v>
      </c>
      <c r="F17" s="9" t="s">
        <v>264</v>
      </c>
      <c r="G17" s="9" t="s">
        <v>265</v>
      </c>
      <c r="H17" s="9" t="s">
        <v>75</v>
      </c>
      <c r="I17" s="9" t="s">
        <v>5</v>
      </c>
      <c r="J17" s="9" t="s">
        <v>266</v>
      </c>
      <c r="K17" s="9"/>
      <c r="L17" s="9" t="s">
        <v>113</v>
      </c>
      <c r="M17" s="12" t="s">
        <v>495</v>
      </c>
      <c r="N17" s="10">
        <v>46293</v>
      </c>
      <c r="O17" s="9"/>
    </row>
    <row r="18" spans="1:15" ht="109.95" customHeight="1">
      <c r="A18" s="9" t="s">
        <v>129</v>
      </c>
      <c r="B18" s="9" t="s">
        <v>253</v>
      </c>
      <c r="C18" s="9" t="s">
        <v>267</v>
      </c>
      <c r="D18" s="9" t="s">
        <v>150</v>
      </c>
      <c r="E18" s="9" t="s">
        <v>268</v>
      </c>
      <c r="F18" s="9" t="s">
        <v>269</v>
      </c>
      <c r="G18" s="9" t="s">
        <v>270</v>
      </c>
      <c r="H18" s="9" t="s">
        <v>75</v>
      </c>
      <c r="I18" s="9" t="s">
        <v>5</v>
      </c>
      <c r="J18" s="9" t="s">
        <v>271</v>
      </c>
      <c r="K18" s="9"/>
      <c r="L18" s="9" t="s">
        <v>113</v>
      </c>
      <c r="M18" s="12" t="s">
        <v>495</v>
      </c>
      <c r="N18" s="10">
        <v>46293</v>
      </c>
      <c r="O18" s="9"/>
    </row>
    <row r="19" spans="1:15" ht="109.95" customHeight="1">
      <c r="A19" s="9" t="s">
        <v>130</v>
      </c>
      <c r="B19" s="9" t="s">
        <v>253</v>
      </c>
      <c r="C19" s="9" t="s">
        <v>272</v>
      </c>
      <c r="D19" s="9" t="s">
        <v>273</v>
      </c>
      <c r="E19" s="9" t="s">
        <v>274</v>
      </c>
      <c r="F19" s="9" t="s">
        <v>275</v>
      </c>
      <c r="G19" s="9" t="s">
        <v>276</v>
      </c>
      <c r="H19" s="9" t="s">
        <v>75</v>
      </c>
      <c r="I19" s="9" t="s">
        <v>7</v>
      </c>
      <c r="J19" s="9" t="s">
        <v>277</v>
      </c>
      <c r="K19" s="9" t="s">
        <v>99</v>
      </c>
      <c r="L19" s="9" t="s">
        <v>113</v>
      </c>
      <c r="M19" s="12" t="s">
        <v>495</v>
      </c>
      <c r="N19" s="10">
        <v>46293</v>
      </c>
      <c r="O19" s="9" t="s">
        <v>82</v>
      </c>
    </row>
    <row r="20" spans="1:15" ht="109.95" customHeight="1">
      <c r="A20" s="9" t="s">
        <v>131</v>
      </c>
      <c r="B20" s="9" t="s">
        <v>253</v>
      </c>
      <c r="C20" s="9" t="s">
        <v>282</v>
      </c>
      <c r="D20" s="9" t="s">
        <v>283</v>
      </c>
      <c r="E20" s="9" t="s">
        <v>284</v>
      </c>
      <c r="F20" s="9" t="s">
        <v>285</v>
      </c>
      <c r="G20" s="9" t="s">
        <v>286</v>
      </c>
      <c r="H20" s="9" t="s">
        <v>75</v>
      </c>
      <c r="I20" s="9" t="s">
        <v>5</v>
      </c>
      <c r="J20" s="9" t="s">
        <v>287</v>
      </c>
      <c r="K20" s="9"/>
      <c r="L20" s="9" t="s">
        <v>113</v>
      </c>
      <c r="M20" s="12" t="s">
        <v>495</v>
      </c>
      <c r="N20" s="10">
        <v>46293</v>
      </c>
      <c r="O20" s="9"/>
    </row>
    <row r="21" spans="1:15" ht="109.95" customHeight="1">
      <c r="A21" s="9" t="s">
        <v>133</v>
      </c>
      <c r="B21" s="9" t="s">
        <v>288</v>
      </c>
      <c r="C21" s="9" t="s">
        <v>185</v>
      </c>
      <c r="D21" s="9" t="s">
        <v>150</v>
      </c>
      <c r="E21" s="9" t="s">
        <v>289</v>
      </c>
      <c r="F21" s="9" t="s">
        <v>290</v>
      </c>
      <c r="G21" s="9" t="s">
        <v>291</v>
      </c>
      <c r="H21" s="9" t="s">
        <v>75</v>
      </c>
      <c r="I21" s="9" t="s">
        <v>5</v>
      </c>
      <c r="J21" s="9" t="s">
        <v>292</v>
      </c>
      <c r="K21" s="9"/>
      <c r="L21" s="9" t="s">
        <v>113</v>
      </c>
      <c r="M21" s="12" t="s">
        <v>495</v>
      </c>
      <c r="N21" s="10">
        <v>46293</v>
      </c>
      <c r="O21" s="9"/>
    </row>
    <row r="22" spans="1:15" ht="109.95" customHeight="1">
      <c r="A22" s="9" t="s">
        <v>136</v>
      </c>
      <c r="B22" s="9" t="s">
        <v>288</v>
      </c>
      <c r="C22" s="9" t="s">
        <v>185</v>
      </c>
      <c r="D22" s="9" t="s">
        <v>150</v>
      </c>
      <c r="E22" s="9" t="s">
        <v>293</v>
      </c>
      <c r="F22" s="9" t="s">
        <v>294</v>
      </c>
      <c r="G22" s="9" t="s">
        <v>295</v>
      </c>
      <c r="H22" s="9" t="s">
        <v>75</v>
      </c>
      <c r="I22" s="9" t="s">
        <v>5</v>
      </c>
      <c r="J22" s="9" t="s">
        <v>296</v>
      </c>
      <c r="K22" s="9"/>
      <c r="L22" s="9" t="s">
        <v>113</v>
      </c>
      <c r="M22" s="12" t="s">
        <v>495</v>
      </c>
      <c r="N22" s="10">
        <v>46293</v>
      </c>
      <c r="O22" s="9"/>
    </row>
    <row r="23" spans="1:15" ht="109.95" customHeight="1">
      <c r="A23" s="9" t="s">
        <v>137</v>
      </c>
      <c r="B23" s="9" t="s">
        <v>288</v>
      </c>
      <c r="C23" s="9" t="s">
        <v>118</v>
      </c>
      <c r="D23" s="9" t="s">
        <v>105</v>
      </c>
      <c r="E23" s="9" t="s">
        <v>297</v>
      </c>
      <c r="F23" s="9" t="s">
        <v>298</v>
      </c>
      <c r="G23" s="9" t="s">
        <v>478</v>
      </c>
      <c r="H23" s="9" t="s">
        <v>75</v>
      </c>
      <c r="I23" s="9" t="s">
        <v>5</v>
      </c>
      <c r="J23" s="9" t="s">
        <v>479</v>
      </c>
      <c r="K23" s="9"/>
      <c r="L23" s="9" t="s">
        <v>113</v>
      </c>
      <c r="M23" s="12" t="s">
        <v>495</v>
      </c>
      <c r="N23" s="10">
        <v>46293</v>
      </c>
      <c r="O23" s="9"/>
    </row>
    <row r="24" spans="1:15" ht="109.95" customHeight="1">
      <c r="A24" s="9" t="s">
        <v>138</v>
      </c>
      <c r="B24" s="9" t="s">
        <v>288</v>
      </c>
      <c r="C24" s="9" t="s">
        <v>299</v>
      </c>
      <c r="D24" s="9" t="s">
        <v>105</v>
      </c>
      <c r="E24" s="9" t="s">
        <v>300</v>
      </c>
      <c r="F24" s="9" t="s">
        <v>301</v>
      </c>
      <c r="G24" s="9" t="s">
        <v>302</v>
      </c>
      <c r="H24" s="9" t="s">
        <v>75</v>
      </c>
      <c r="I24" s="9" t="s">
        <v>7</v>
      </c>
      <c r="J24" s="9" t="s">
        <v>303</v>
      </c>
      <c r="K24" s="9" t="s">
        <v>102</v>
      </c>
      <c r="L24" s="9" t="s">
        <v>113</v>
      </c>
      <c r="M24" s="12" t="s">
        <v>495</v>
      </c>
      <c r="N24" s="10">
        <v>46293</v>
      </c>
      <c r="O24" s="9" t="s">
        <v>82</v>
      </c>
    </row>
    <row r="25" spans="1:15" ht="109.95" customHeight="1">
      <c r="A25" s="9" t="s">
        <v>139</v>
      </c>
      <c r="B25" s="9" t="s">
        <v>308</v>
      </c>
      <c r="C25" s="9" t="s">
        <v>309</v>
      </c>
      <c r="D25" s="9" t="s">
        <v>124</v>
      </c>
      <c r="E25" s="9" t="s">
        <v>310</v>
      </c>
      <c r="F25" s="9" t="s">
        <v>311</v>
      </c>
      <c r="G25" s="9" t="s">
        <v>312</v>
      </c>
      <c r="H25" s="9" t="s">
        <v>75</v>
      </c>
      <c r="I25" s="9" t="s">
        <v>5</v>
      </c>
      <c r="J25" s="9" t="s">
        <v>266</v>
      </c>
      <c r="K25" s="9"/>
      <c r="L25" s="9" t="s">
        <v>113</v>
      </c>
      <c r="M25" s="12" t="s">
        <v>495</v>
      </c>
      <c r="N25" s="10">
        <v>46293</v>
      </c>
      <c r="O25" s="9"/>
    </row>
    <row r="26" spans="1:15" ht="109.95" customHeight="1">
      <c r="A26" s="9" t="s">
        <v>140</v>
      </c>
      <c r="B26" s="9" t="s">
        <v>308</v>
      </c>
      <c r="C26" s="9" t="s">
        <v>309</v>
      </c>
      <c r="D26" s="9" t="s">
        <v>124</v>
      </c>
      <c r="E26" s="9" t="s">
        <v>313</v>
      </c>
      <c r="F26" s="9" t="s">
        <v>480</v>
      </c>
      <c r="G26" s="9" t="s">
        <v>481</v>
      </c>
      <c r="H26" s="9" t="s">
        <v>134</v>
      </c>
      <c r="I26" s="9" t="s">
        <v>5</v>
      </c>
      <c r="J26" s="9" t="s">
        <v>482</v>
      </c>
      <c r="K26" s="9"/>
      <c r="L26" s="9" t="s">
        <v>113</v>
      </c>
      <c r="M26" s="12" t="s">
        <v>495</v>
      </c>
      <c r="N26" s="10">
        <v>46293</v>
      </c>
      <c r="O26" s="9"/>
    </row>
    <row r="27" spans="1:15" ht="109.95" customHeight="1">
      <c r="A27" s="9" t="s">
        <v>141</v>
      </c>
      <c r="B27" s="9" t="s">
        <v>308</v>
      </c>
      <c r="C27" s="9" t="s">
        <v>309</v>
      </c>
      <c r="D27" s="9" t="s">
        <v>124</v>
      </c>
      <c r="E27" s="9" t="s">
        <v>314</v>
      </c>
      <c r="F27" s="9" t="s">
        <v>315</v>
      </c>
      <c r="G27" s="9" t="s">
        <v>316</v>
      </c>
      <c r="H27" s="9" t="s">
        <v>75</v>
      </c>
      <c r="I27" s="9" t="s">
        <v>5</v>
      </c>
      <c r="J27" s="9" t="s">
        <v>317</v>
      </c>
      <c r="K27" s="9"/>
      <c r="L27" s="9" t="s">
        <v>113</v>
      </c>
      <c r="M27" s="12" t="s">
        <v>495</v>
      </c>
      <c r="N27" s="10">
        <v>46293</v>
      </c>
      <c r="O27" s="9"/>
    </row>
    <row r="28" spans="1:15" ht="109.95" customHeight="1">
      <c r="A28" s="9" t="s">
        <v>142</v>
      </c>
      <c r="B28" s="9" t="s">
        <v>318</v>
      </c>
      <c r="C28" s="9" t="s">
        <v>309</v>
      </c>
      <c r="D28" s="9" t="s">
        <v>319</v>
      </c>
      <c r="E28" s="9" t="s">
        <v>320</v>
      </c>
      <c r="F28" s="9" t="s">
        <v>321</v>
      </c>
      <c r="G28" s="9" t="s">
        <v>322</v>
      </c>
      <c r="H28" s="9" t="s">
        <v>75</v>
      </c>
      <c r="I28" s="9" t="s">
        <v>5</v>
      </c>
      <c r="J28" s="9" t="s">
        <v>266</v>
      </c>
      <c r="K28" s="9"/>
      <c r="L28" s="9" t="s">
        <v>113</v>
      </c>
      <c r="M28" s="12" t="s">
        <v>495</v>
      </c>
      <c r="N28" s="10">
        <v>46293</v>
      </c>
      <c r="O28" s="9"/>
    </row>
    <row r="29" spans="1:15" ht="109.95" customHeight="1">
      <c r="A29" s="9" t="s">
        <v>143</v>
      </c>
      <c r="B29" s="9" t="s">
        <v>308</v>
      </c>
      <c r="C29" s="9" t="s">
        <v>309</v>
      </c>
      <c r="D29" s="9" t="s">
        <v>323</v>
      </c>
      <c r="E29" s="9" t="s">
        <v>324</v>
      </c>
      <c r="F29" s="9" t="s">
        <v>325</v>
      </c>
      <c r="G29" s="9" t="s">
        <v>326</v>
      </c>
      <c r="H29" s="9" t="s">
        <v>134</v>
      </c>
      <c r="I29" s="9" t="s">
        <v>5</v>
      </c>
      <c r="J29" s="9" t="s">
        <v>327</v>
      </c>
      <c r="K29" s="9"/>
      <c r="L29" s="9" t="s">
        <v>172</v>
      </c>
      <c r="M29" s="12" t="s">
        <v>495</v>
      </c>
      <c r="N29" s="10">
        <v>46293</v>
      </c>
      <c r="O29" s="9"/>
    </row>
    <row r="30" spans="1:15" ht="109.95" customHeight="1">
      <c r="A30" s="9" t="s">
        <v>145</v>
      </c>
      <c r="B30" s="9" t="s">
        <v>328</v>
      </c>
      <c r="C30" s="9" t="s">
        <v>196</v>
      </c>
      <c r="D30" s="9" t="s">
        <v>105</v>
      </c>
      <c r="E30" s="9" t="s">
        <v>329</v>
      </c>
      <c r="F30" s="9" t="s">
        <v>330</v>
      </c>
      <c r="G30" s="9" t="s">
        <v>331</v>
      </c>
      <c r="H30" s="9" t="s">
        <v>75</v>
      </c>
      <c r="I30" s="9" t="s">
        <v>5</v>
      </c>
      <c r="J30" s="9" t="s">
        <v>332</v>
      </c>
      <c r="K30" s="9"/>
      <c r="L30" s="9" t="s">
        <v>113</v>
      </c>
      <c r="M30" s="12" t="s">
        <v>495</v>
      </c>
      <c r="N30" s="10">
        <v>46293</v>
      </c>
      <c r="O30" s="9"/>
    </row>
    <row r="31" spans="1:15" ht="109.95" customHeight="1">
      <c r="A31" s="9" t="s">
        <v>146</v>
      </c>
      <c r="B31" s="9" t="s">
        <v>328</v>
      </c>
      <c r="C31" s="9" t="s">
        <v>333</v>
      </c>
      <c r="D31" s="9" t="s">
        <v>105</v>
      </c>
      <c r="E31" s="9" t="s">
        <v>334</v>
      </c>
      <c r="F31" s="9" t="s">
        <v>335</v>
      </c>
      <c r="G31" s="9" t="s">
        <v>336</v>
      </c>
      <c r="H31" s="9" t="s">
        <v>134</v>
      </c>
      <c r="I31" s="9" t="s">
        <v>5</v>
      </c>
      <c r="J31" s="9" t="s">
        <v>337</v>
      </c>
      <c r="K31" s="9"/>
      <c r="L31" s="9" t="s">
        <v>338</v>
      </c>
      <c r="M31" s="12" t="s">
        <v>495</v>
      </c>
      <c r="N31" s="10">
        <v>46293</v>
      </c>
      <c r="O31" s="9"/>
    </row>
    <row r="32" spans="1:15" ht="109.95" customHeight="1">
      <c r="A32" s="9" t="s">
        <v>147</v>
      </c>
      <c r="B32" s="9" t="s">
        <v>339</v>
      </c>
      <c r="C32" s="9" t="s">
        <v>333</v>
      </c>
      <c r="D32" s="9" t="s">
        <v>105</v>
      </c>
      <c r="E32" s="9" t="s">
        <v>340</v>
      </c>
      <c r="F32" s="9" t="s">
        <v>341</v>
      </c>
      <c r="G32" s="9" t="s">
        <v>342</v>
      </c>
      <c r="H32" s="9" t="s">
        <v>75</v>
      </c>
      <c r="I32" s="9" t="s">
        <v>5</v>
      </c>
      <c r="J32" s="9" t="s">
        <v>343</v>
      </c>
      <c r="K32" s="9"/>
      <c r="L32" s="9" t="s">
        <v>344</v>
      </c>
      <c r="M32" s="12" t="s">
        <v>495</v>
      </c>
      <c r="N32" s="10">
        <v>46293</v>
      </c>
      <c r="O32" s="9"/>
    </row>
    <row r="33" spans="1:15" ht="109.95" customHeight="1">
      <c r="A33" s="9" t="s">
        <v>148</v>
      </c>
      <c r="B33" s="9" t="s">
        <v>345</v>
      </c>
      <c r="C33" s="9" t="s">
        <v>346</v>
      </c>
      <c r="D33" s="9" t="s">
        <v>105</v>
      </c>
      <c r="E33" s="9" t="s">
        <v>347</v>
      </c>
      <c r="F33" s="9" t="s">
        <v>348</v>
      </c>
      <c r="G33" s="9" t="s">
        <v>349</v>
      </c>
      <c r="H33" s="9" t="s">
        <v>75</v>
      </c>
      <c r="I33" s="9" t="s">
        <v>7</v>
      </c>
      <c r="J33" s="9" t="s">
        <v>350</v>
      </c>
      <c r="K33" s="9" t="s">
        <v>107</v>
      </c>
      <c r="L33" s="9" t="s">
        <v>351</v>
      </c>
      <c r="M33" s="12" t="s">
        <v>495</v>
      </c>
      <c r="N33" s="10">
        <v>46293</v>
      </c>
      <c r="O33" s="9" t="s">
        <v>82</v>
      </c>
    </row>
    <row r="34" spans="1:15" ht="109.95" customHeight="1">
      <c r="A34" s="9" t="s">
        <v>152</v>
      </c>
      <c r="B34" s="9" t="s">
        <v>356</v>
      </c>
      <c r="C34" s="9" t="s">
        <v>357</v>
      </c>
      <c r="D34" s="9" t="s">
        <v>105</v>
      </c>
      <c r="E34" s="9" t="s">
        <v>358</v>
      </c>
      <c r="F34" s="9" t="s">
        <v>359</v>
      </c>
      <c r="G34" s="9" t="s">
        <v>360</v>
      </c>
      <c r="H34" s="9" t="s">
        <v>134</v>
      </c>
      <c r="I34" s="9" t="s">
        <v>5</v>
      </c>
      <c r="J34" s="9" t="s">
        <v>266</v>
      </c>
      <c r="K34" s="9"/>
      <c r="L34" s="9" t="s">
        <v>361</v>
      </c>
      <c r="M34" s="12" t="s">
        <v>495</v>
      </c>
      <c r="N34" s="10">
        <v>46293</v>
      </c>
      <c r="O34" s="9"/>
    </row>
    <row r="35" spans="1:15" ht="109.95" customHeight="1">
      <c r="A35" s="9" t="s">
        <v>155</v>
      </c>
      <c r="B35" s="9" t="s">
        <v>362</v>
      </c>
      <c r="C35" s="9" t="s">
        <v>363</v>
      </c>
      <c r="D35" s="9" t="s">
        <v>105</v>
      </c>
      <c r="E35" s="9" t="s">
        <v>364</v>
      </c>
      <c r="F35" s="9" t="s">
        <v>365</v>
      </c>
      <c r="G35" s="9" t="s">
        <v>366</v>
      </c>
      <c r="H35" s="9" t="s">
        <v>75</v>
      </c>
      <c r="I35" s="9" t="s">
        <v>5</v>
      </c>
      <c r="J35" s="9" t="s">
        <v>367</v>
      </c>
      <c r="K35" s="9"/>
      <c r="L35" s="9" t="s">
        <v>368</v>
      </c>
      <c r="M35" s="12" t="s">
        <v>495</v>
      </c>
      <c r="N35" s="10">
        <v>46293</v>
      </c>
      <c r="O35" s="9"/>
    </row>
    <row r="36" spans="1:15" ht="109.95" customHeight="1">
      <c r="A36" s="9" t="s">
        <v>157</v>
      </c>
      <c r="B36" s="9" t="s">
        <v>362</v>
      </c>
      <c r="C36" s="9" t="s">
        <v>369</v>
      </c>
      <c r="D36" s="9" t="s">
        <v>105</v>
      </c>
      <c r="E36" s="9" t="s">
        <v>370</v>
      </c>
      <c r="F36" s="9" t="s">
        <v>371</v>
      </c>
      <c r="G36" s="9" t="s">
        <v>483</v>
      </c>
      <c r="H36" s="9" t="s">
        <v>75</v>
      </c>
      <c r="I36" s="9" t="s">
        <v>5</v>
      </c>
      <c r="J36" s="9" t="s">
        <v>484</v>
      </c>
      <c r="K36" s="9"/>
      <c r="L36" s="9" t="s">
        <v>368</v>
      </c>
      <c r="M36" s="12" t="s">
        <v>495</v>
      </c>
      <c r="N36" s="10">
        <v>46293</v>
      </c>
      <c r="O36" s="9"/>
    </row>
    <row r="37" spans="1:15" ht="109.95" customHeight="1">
      <c r="A37" s="9" t="s">
        <v>162</v>
      </c>
      <c r="B37" s="9" t="s">
        <v>372</v>
      </c>
      <c r="C37" s="9" t="s">
        <v>171</v>
      </c>
      <c r="D37" s="9" t="s">
        <v>373</v>
      </c>
      <c r="E37" s="9" t="s">
        <v>374</v>
      </c>
      <c r="F37" s="9" t="s">
        <v>375</v>
      </c>
      <c r="G37" s="9" t="s">
        <v>376</v>
      </c>
      <c r="H37" s="9" t="s">
        <v>134</v>
      </c>
      <c r="I37" s="9" t="s">
        <v>5</v>
      </c>
      <c r="J37" s="9" t="s">
        <v>266</v>
      </c>
      <c r="K37" s="9"/>
      <c r="L37" s="9" t="s">
        <v>172</v>
      </c>
      <c r="M37" s="12" t="s">
        <v>495</v>
      </c>
      <c r="N37" s="10">
        <v>46293</v>
      </c>
      <c r="O37" s="9"/>
    </row>
    <row r="38" spans="1:15" ht="109.95" customHeight="1">
      <c r="A38" s="9" t="s">
        <v>163</v>
      </c>
      <c r="B38" s="9" t="s">
        <v>372</v>
      </c>
      <c r="C38" s="9" t="s">
        <v>377</v>
      </c>
      <c r="D38" s="9" t="s">
        <v>105</v>
      </c>
      <c r="E38" s="9" t="s">
        <v>378</v>
      </c>
      <c r="F38" s="9" t="s">
        <v>379</v>
      </c>
      <c r="G38" s="9" t="s">
        <v>380</v>
      </c>
      <c r="H38" s="9" t="s">
        <v>134</v>
      </c>
      <c r="I38" s="9" t="s">
        <v>9</v>
      </c>
      <c r="J38" s="9" t="s">
        <v>485</v>
      </c>
      <c r="K38" s="9"/>
      <c r="L38" s="9" t="s">
        <v>172</v>
      </c>
      <c r="M38" s="12" t="s">
        <v>495</v>
      </c>
      <c r="N38" s="10">
        <v>46293</v>
      </c>
      <c r="O38" s="9"/>
    </row>
    <row r="39" spans="1:15" ht="109.95" customHeight="1">
      <c r="A39" s="9" t="s">
        <v>164</v>
      </c>
      <c r="B39" s="9" t="s">
        <v>318</v>
      </c>
      <c r="C39" s="9" t="s">
        <v>381</v>
      </c>
      <c r="D39" s="9" t="s">
        <v>105</v>
      </c>
      <c r="E39" s="9" t="s">
        <v>382</v>
      </c>
      <c r="F39" s="9" t="s">
        <v>383</v>
      </c>
      <c r="G39" s="9" t="s">
        <v>384</v>
      </c>
      <c r="H39" s="9" t="s">
        <v>134</v>
      </c>
      <c r="I39" s="9" t="s">
        <v>9</v>
      </c>
      <c r="J39" s="9" t="s">
        <v>385</v>
      </c>
      <c r="K39" s="9"/>
      <c r="L39" s="9" t="s">
        <v>113</v>
      </c>
      <c r="M39" s="12" t="s">
        <v>495</v>
      </c>
      <c r="N39" s="10">
        <v>46293</v>
      </c>
      <c r="O39" s="9"/>
    </row>
    <row r="40" spans="1:15" ht="109.95" customHeight="1">
      <c r="A40" s="9" t="s">
        <v>166</v>
      </c>
      <c r="B40" s="9" t="s">
        <v>386</v>
      </c>
      <c r="C40" s="9" t="s">
        <v>122</v>
      </c>
      <c r="D40" s="9" t="s">
        <v>105</v>
      </c>
      <c r="E40" s="9" t="s">
        <v>387</v>
      </c>
      <c r="F40" s="9" t="s">
        <v>388</v>
      </c>
      <c r="G40" s="9" t="s">
        <v>389</v>
      </c>
      <c r="H40" s="9" t="s">
        <v>75</v>
      </c>
      <c r="I40" s="9" t="s">
        <v>5</v>
      </c>
      <c r="J40" s="9" t="s">
        <v>390</v>
      </c>
      <c r="K40" s="9"/>
      <c r="L40" s="9" t="s">
        <v>113</v>
      </c>
      <c r="M40" s="12" t="s">
        <v>495</v>
      </c>
      <c r="N40" s="10">
        <v>46293</v>
      </c>
      <c r="O40" s="9"/>
    </row>
    <row r="41" spans="1:15" ht="109.95" customHeight="1">
      <c r="A41" s="9" t="s">
        <v>167</v>
      </c>
      <c r="B41" s="9" t="s">
        <v>386</v>
      </c>
      <c r="C41" s="9" t="s">
        <v>187</v>
      </c>
      <c r="D41" s="9" t="s">
        <v>273</v>
      </c>
      <c r="E41" s="9" t="s">
        <v>391</v>
      </c>
      <c r="F41" s="9" t="s">
        <v>392</v>
      </c>
      <c r="G41" s="9" t="s">
        <v>393</v>
      </c>
      <c r="H41" s="9" t="s">
        <v>75</v>
      </c>
      <c r="I41" s="9" t="s">
        <v>9</v>
      </c>
      <c r="J41" s="9" t="s">
        <v>486</v>
      </c>
      <c r="K41" s="9"/>
      <c r="L41" s="9" t="s">
        <v>153</v>
      </c>
      <c r="M41" s="12" t="s">
        <v>495</v>
      </c>
      <c r="N41" s="10">
        <v>46293</v>
      </c>
      <c r="O41" s="9"/>
    </row>
    <row r="42" spans="1:15" ht="109.95" customHeight="1">
      <c r="A42" s="9" t="s">
        <v>168</v>
      </c>
      <c r="B42" s="9" t="s">
        <v>386</v>
      </c>
      <c r="C42" s="9" t="s">
        <v>394</v>
      </c>
      <c r="D42" s="9" t="s">
        <v>188</v>
      </c>
      <c r="E42" s="9" t="s">
        <v>395</v>
      </c>
      <c r="F42" s="9" t="s">
        <v>396</v>
      </c>
      <c r="G42" s="9" t="s">
        <v>397</v>
      </c>
      <c r="H42" s="9" t="s">
        <v>75</v>
      </c>
      <c r="I42" s="9" t="s">
        <v>7</v>
      </c>
      <c r="J42" s="9" t="s">
        <v>398</v>
      </c>
      <c r="K42" s="9" t="s">
        <v>112</v>
      </c>
      <c r="L42" s="9" t="s">
        <v>189</v>
      </c>
      <c r="M42" s="12" t="s">
        <v>495</v>
      </c>
      <c r="N42" s="10">
        <v>46293</v>
      </c>
      <c r="O42" s="9" t="s">
        <v>82</v>
      </c>
    </row>
    <row r="43" spans="1:15" ht="109.95" customHeight="1">
      <c r="A43" s="9" t="s">
        <v>169</v>
      </c>
      <c r="B43" s="9" t="s">
        <v>386</v>
      </c>
      <c r="C43" s="9" t="s">
        <v>394</v>
      </c>
      <c r="D43" s="9" t="s">
        <v>188</v>
      </c>
      <c r="E43" s="9" t="s">
        <v>403</v>
      </c>
      <c r="F43" s="9" t="s">
        <v>404</v>
      </c>
      <c r="G43" s="9" t="s">
        <v>405</v>
      </c>
      <c r="H43" s="9" t="s">
        <v>75</v>
      </c>
      <c r="I43" s="9" t="s">
        <v>5</v>
      </c>
      <c r="J43" s="9" t="s">
        <v>406</v>
      </c>
      <c r="K43" s="9"/>
      <c r="L43" s="9" t="s">
        <v>189</v>
      </c>
      <c r="M43" s="12" t="s">
        <v>495</v>
      </c>
      <c r="N43" s="10">
        <v>46293</v>
      </c>
      <c r="O43" s="9"/>
    </row>
    <row r="44" spans="1:15" ht="109.95" customHeight="1">
      <c r="A44" s="9" t="s">
        <v>170</v>
      </c>
      <c r="B44" s="9" t="s">
        <v>386</v>
      </c>
      <c r="C44" s="9" t="s">
        <v>122</v>
      </c>
      <c r="D44" s="9" t="s">
        <v>156</v>
      </c>
      <c r="E44" s="9" t="s">
        <v>407</v>
      </c>
      <c r="F44" s="9" t="s">
        <v>408</v>
      </c>
      <c r="G44" s="9" t="s">
        <v>409</v>
      </c>
      <c r="H44" s="9" t="s">
        <v>134</v>
      </c>
      <c r="I44" s="9" t="s">
        <v>9</v>
      </c>
      <c r="J44" s="9" t="s">
        <v>410</v>
      </c>
      <c r="K44" s="9"/>
      <c r="L44" s="9" t="s">
        <v>153</v>
      </c>
      <c r="M44" s="12" t="s">
        <v>495</v>
      </c>
      <c r="N44" s="10">
        <v>46293</v>
      </c>
      <c r="O44" s="9"/>
    </row>
    <row r="45" spans="1:15" ht="109.95" customHeight="1">
      <c r="A45" s="9" t="s">
        <v>173</v>
      </c>
      <c r="B45" s="9" t="s">
        <v>411</v>
      </c>
      <c r="C45" s="9" t="s">
        <v>412</v>
      </c>
      <c r="D45" s="9" t="s">
        <v>413</v>
      </c>
      <c r="E45" s="9" t="s">
        <v>414</v>
      </c>
      <c r="F45" s="9" t="s">
        <v>415</v>
      </c>
      <c r="G45" s="9" t="s">
        <v>416</v>
      </c>
      <c r="H45" s="9" t="s">
        <v>75</v>
      </c>
      <c r="I45" s="9" t="s">
        <v>5</v>
      </c>
      <c r="J45" s="9" t="s">
        <v>266</v>
      </c>
      <c r="K45" s="9"/>
      <c r="L45" s="9" t="s">
        <v>132</v>
      </c>
      <c r="M45" s="12" t="s">
        <v>495</v>
      </c>
      <c r="N45" s="10">
        <v>46293</v>
      </c>
      <c r="O45" s="9"/>
    </row>
    <row r="46" spans="1:15" ht="109.95" customHeight="1">
      <c r="A46" s="9" t="s">
        <v>174</v>
      </c>
      <c r="B46" s="9" t="s">
        <v>417</v>
      </c>
      <c r="C46" s="9" t="s">
        <v>418</v>
      </c>
      <c r="D46" s="9" t="s">
        <v>419</v>
      </c>
      <c r="E46" s="9" t="s">
        <v>420</v>
      </c>
      <c r="F46" s="9" t="s">
        <v>421</v>
      </c>
      <c r="G46" s="9" t="s">
        <v>422</v>
      </c>
      <c r="H46" s="9" t="s">
        <v>75</v>
      </c>
      <c r="I46" s="9" t="s">
        <v>5</v>
      </c>
      <c r="J46" s="9" t="s">
        <v>423</v>
      </c>
      <c r="K46" s="9"/>
      <c r="L46" s="9" t="s">
        <v>194</v>
      </c>
      <c r="M46" s="12" t="s">
        <v>495</v>
      </c>
      <c r="N46" s="10">
        <v>46293</v>
      </c>
      <c r="O46" s="9"/>
    </row>
    <row r="47" spans="1:15" ht="109.95" customHeight="1">
      <c r="A47" s="9" t="s">
        <v>177</v>
      </c>
      <c r="B47" s="9" t="s">
        <v>417</v>
      </c>
      <c r="C47" s="9" t="s">
        <v>418</v>
      </c>
      <c r="D47" s="9" t="s">
        <v>419</v>
      </c>
      <c r="E47" s="9" t="s">
        <v>424</v>
      </c>
      <c r="F47" s="9" t="s">
        <v>425</v>
      </c>
      <c r="G47" s="9" t="s">
        <v>426</v>
      </c>
      <c r="H47" s="9" t="s">
        <v>75</v>
      </c>
      <c r="I47" s="9" t="s">
        <v>5</v>
      </c>
      <c r="J47" s="9" t="s">
        <v>427</v>
      </c>
      <c r="K47" s="9"/>
      <c r="L47" s="9" t="s">
        <v>151</v>
      </c>
      <c r="M47" s="12" t="s">
        <v>495</v>
      </c>
      <c r="N47" s="10">
        <v>46293</v>
      </c>
      <c r="O47" s="9"/>
    </row>
    <row r="48" spans="1:15" ht="109.95" customHeight="1">
      <c r="A48" s="9" t="s">
        <v>178</v>
      </c>
      <c r="B48" s="9" t="s">
        <v>417</v>
      </c>
      <c r="C48" s="9" t="s">
        <v>428</v>
      </c>
      <c r="D48" s="9" t="s">
        <v>419</v>
      </c>
      <c r="E48" s="9" t="s">
        <v>429</v>
      </c>
      <c r="F48" s="9" t="s">
        <v>430</v>
      </c>
      <c r="G48" s="9" t="s">
        <v>431</v>
      </c>
      <c r="H48" s="9" t="s">
        <v>75</v>
      </c>
      <c r="I48" s="9" t="s">
        <v>7</v>
      </c>
      <c r="J48" s="9" t="s">
        <v>487</v>
      </c>
      <c r="K48" s="9" t="s">
        <v>119</v>
      </c>
      <c r="L48" s="9" t="s">
        <v>172</v>
      </c>
      <c r="M48" s="12" t="s">
        <v>495</v>
      </c>
      <c r="N48" s="10">
        <v>46293</v>
      </c>
      <c r="O48" s="9" t="s">
        <v>82</v>
      </c>
    </row>
    <row r="49" spans="1:15" ht="109.95" customHeight="1">
      <c r="A49" s="9" t="s">
        <v>179</v>
      </c>
      <c r="B49" s="9" t="s">
        <v>417</v>
      </c>
      <c r="C49" s="9" t="s">
        <v>418</v>
      </c>
      <c r="D49" s="9" t="s">
        <v>419</v>
      </c>
      <c r="E49" s="9" t="s">
        <v>435</v>
      </c>
      <c r="F49" s="9" t="s">
        <v>489</v>
      </c>
      <c r="G49" s="9" t="s">
        <v>436</v>
      </c>
      <c r="H49" s="9" t="s">
        <v>106</v>
      </c>
      <c r="I49" s="9" t="s">
        <v>5</v>
      </c>
      <c r="J49" s="9" t="s">
        <v>490</v>
      </c>
      <c r="K49" s="9"/>
      <c r="L49" s="9" t="s">
        <v>194</v>
      </c>
      <c r="M49" s="12" t="s">
        <v>495</v>
      </c>
      <c r="N49" s="10">
        <v>46293</v>
      </c>
      <c r="O49" s="9"/>
    </row>
    <row r="50" spans="1:15" ht="109.95" customHeight="1">
      <c r="A50" s="9" t="s">
        <v>181</v>
      </c>
      <c r="B50" s="9" t="s">
        <v>417</v>
      </c>
      <c r="C50" s="9" t="s">
        <v>418</v>
      </c>
      <c r="D50" s="9" t="s">
        <v>419</v>
      </c>
      <c r="E50" s="9" t="s">
        <v>437</v>
      </c>
      <c r="F50" s="9" t="s">
        <v>438</v>
      </c>
      <c r="G50" s="9" t="s">
        <v>439</v>
      </c>
      <c r="H50" s="9" t="s">
        <v>144</v>
      </c>
      <c r="I50" s="9" t="s">
        <v>9</v>
      </c>
      <c r="J50" s="9" t="s">
        <v>491</v>
      </c>
      <c r="K50" s="9"/>
      <c r="L50" s="9" t="s">
        <v>194</v>
      </c>
      <c r="M50" s="12" t="s">
        <v>495</v>
      </c>
      <c r="N50" s="10">
        <v>46293</v>
      </c>
      <c r="O50" s="9"/>
    </row>
    <row r="51" spans="1:15" ht="109.95" customHeight="1">
      <c r="A51" s="9" t="s">
        <v>183</v>
      </c>
      <c r="B51" s="9" t="s">
        <v>440</v>
      </c>
      <c r="C51" s="9" t="s">
        <v>441</v>
      </c>
      <c r="D51" s="9" t="s">
        <v>197</v>
      </c>
      <c r="E51" s="9" t="s">
        <v>442</v>
      </c>
      <c r="F51" s="9" t="s">
        <v>443</v>
      </c>
      <c r="G51" s="9" t="s">
        <v>444</v>
      </c>
      <c r="H51" s="9" t="s">
        <v>75</v>
      </c>
      <c r="I51" s="9" t="s">
        <v>5</v>
      </c>
      <c r="J51" s="9" t="s">
        <v>445</v>
      </c>
      <c r="K51" s="9"/>
      <c r="L51" s="9" t="s">
        <v>198</v>
      </c>
      <c r="M51" s="12" t="s">
        <v>495</v>
      </c>
      <c r="N51" s="10">
        <v>46293</v>
      </c>
      <c r="O51" s="9"/>
    </row>
    <row r="52" spans="1:15" ht="109.95" customHeight="1">
      <c r="A52" s="9" t="s">
        <v>184</v>
      </c>
      <c r="B52" s="9" t="s">
        <v>440</v>
      </c>
      <c r="C52" s="9" t="s">
        <v>441</v>
      </c>
      <c r="D52" s="9" t="s">
        <v>197</v>
      </c>
      <c r="E52" s="9" t="s">
        <v>446</v>
      </c>
      <c r="F52" s="9" t="s">
        <v>447</v>
      </c>
      <c r="G52" s="9" t="s">
        <v>448</v>
      </c>
      <c r="H52" s="9" t="s">
        <v>75</v>
      </c>
      <c r="I52" s="9" t="s">
        <v>5</v>
      </c>
      <c r="J52" s="9" t="s">
        <v>449</v>
      </c>
      <c r="K52" s="9"/>
      <c r="L52" s="9" t="s">
        <v>198</v>
      </c>
      <c r="M52" s="12" t="s">
        <v>495</v>
      </c>
      <c r="N52" s="10">
        <v>46293</v>
      </c>
      <c r="O52" s="9"/>
    </row>
    <row r="53" spans="1:15" ht="109.95" customHeight="1">
      <c r="A53" s="9" t="s">
        <v>186</v>
      </c>
      <c r="B53" s="9" t="s">
        <v>450</v>
      </c>
      <c r="C53" s="9" t="s">
        <v>451</v>
      </c>
      <c r="D53" s="9" t="s">
        <v>452</v>
      </c>
      <c r="E53" s="9" t="s">
        <v>453</v>
      </c>
      <c r="F53" s="9" t="s">
        <v>454</v>
      </c>
      <c r="G53" s="9" t="s">
        <v>455</v>
      </c>
      <c r="H53" s="9" t="s">
        <v>75</v>
      </c>
      <c r="I53" s="9" t="s">
        <v>5</v>
      </c>
      <c r="J53" s="9" t="s">
        <v>456</v>
      </c>
      <c r="K53" s="9"/>
      <c r="L53" s="9" t="s">
        <v>151</v>
      </c>
      <c r="M53" s="12" t="s">
        <v>495</v>
      </c>
      <c r="N53" s="10">
        <v>46293</v>
      </c>
      <c r="O53" s="9"/>
    </row>
    <row r="54" spans="1:15" ht="109.95" customHeight="1">
      <c r="A54" s="9" t="s">
        <v>190</v>
      </c>
      <c r="B54" s="9" t="s">
        <v>457</v>
      </c>
      <c r="C54" s="9" t="s">
        <v>149</v>
      </c>
      <c r="D54" s="9" t="s">
        <v>458</v>
      </c>
      <c r="E54" s="9" t="s">
        <v>459</v>
      </c>
      <c r="F54" s="9" t="s">
        <v>460</v>
      </c>
      <c r="G54" s="9" t="s">
        <v>461</v>
      </c>
      <c r="H54" s="9" t="s">
        <v>75</v>
      </c>
      <c r="I54" s="9" t="s">
        <v>5</v>
      </c>
      <c r="J54" s="9" t="s">
        <v>462</v>
      </c>
      <c r="K54" s="9"/>
      <c r="L54" s="9" t="s">
        <v>151</v>
      </c>
      <c r="M54" s="12" t="s">
        <v>495</v>
      </c>
      <c r="N54" s="10">
        <v>46293</v>
      </c>
      <c r="O54" s="9"/>
    </row>
    <row r="55" spans="1:15" ht="109.95" customHeight="1">
      <c r="A55" s="9" t="s">
        <v>191</v>
      </c>
      <c r="B55" s="9" t="s">
        <v>457</v>
      </c>
      <c r="C55" s="9" t="s">
        <v>149</v>
      </c>
      <c r="D55" s="9" t="s">
        <v>150</v>
      </c>
      <c r="E55" s="9" t="s">
        <v>463</v>
      </c>
      <c r="F55" s="9" t="s">
        <v>464</v>
      </c>
      <c r="G55" s="9" t="s">
        <v>465</v>
      </c>
      <c r="H55" s="9" t="s">
        <v>134</v>
      </c>
      <c r="I55" s="9" t="s">
        <v>9</v>
      </c>
      <c r="J55" s="9" t="s">
        <v>492</v>
      </c>
      <c r="K55" s="9"/>
      <c r="L55" s="9" t="s">
        <v>151</v>
      </c>
      <c r="M55" s="12" t="s">
        <v>495</v>
      </c>
      <c r="N55" s="10">
        <v>46293</v>
      </c>
      <c r="O55" s="9"/>
    </row>
    <row r="56" spans="1:15" ht="109.95" customHeight="1">
      <c r="A56" s="9" t="s">
        <v>192</v>
      </c>
      <c r="B56" s="9" t="s">
        <v>466</v>
      </c>
      <c r="C56" s="9" t="s">
        <v>467</v>
      </c>
      <c r="D56" s="9" t="s">
        <v>105</v>
      </c>
      <c r="E56" s="9" t="s">
        <v>468</v>
      </c>
      <c r="F56" s="9" t="s">
        <v>469</v>
      </c>
      <c r="G56" s="9" t="s">
        <v>470</v>
      </c>
      <c r="H56" s="9" t="s">
        <v>134</v>
      </c>
      <c r="I56" s="9" t="s">
        <v>5</v>
      </c>
      <c r="J56" s="9" t="s">
        <v>471</v>
      </c>
      <c r="K56" s="9"/>
      <c r="L56" s="9" t="s">
        <v>91</v>
      </c>
      <c r="M56" s="12" t="s">
        <v>495</v>
      </c>
      <c r="N56" s="10">
        <v>46293</v>
      </c>
      <c r="O56" s="9"/>
    </row>
    <row r="57" spans="1:15" ht="109.95" customHeight="1">
      <c r="A57" s="9" t="s">
        <v>193</v>
      </c>
      <c r="B57" s="9" t="s">
        <v>466</v>
      </c>
      <c r="C57" s="9" t="s">
        <v>467</v>
      </c>
      <c r="D57" s="9" t="s">
        <v>105</v>
      </c>
      <c r="E57" s="9" t="s">
        <v>472</v>
      </c>
      <c r="F57" s="9" t="s">
        <v>473</v>
      </c>
      <c r="G57" s="9" t="s">
        <v>474</v>
      </c>
      <c r="H57" s="9" t="s">
        <v>144</v>
      </c>
      <c r="I57" s="9" t="s">
        <v>9</v>
      </c>
      <c r="J57" s="9" t="s">
        <v>493</v>
      </c>
      <c r="K57" s="9"/>
      <c r="L57" s="9" t="s">
        <v>132</v>
      </c>
      <c r="M57" s="12" t="s">
        <v>495</v>
      </c>
      <c r="N57" s="10">
        <v>46293</v>
      </c>
      <c r="O57" s="9"/>
    </row>
    <row r="58" spans="1:15" ht="109.95" customHeight="1">
      <c r="A58" s="9" t="s">
        <v>195</v>
      </c>
      <c r="B58" s="9" t="s">
        <v>466</v>
      </c>
      <c r="C58" s="9" t="s">
        <v>467</v>
      </c>
      <c r="D58" s="9" t="s">
        <v>105</v>
      </c>
      <c r="E58" s="9" t="s">
        <v>475</v>
      </c>
      <c r="F58" s="9" t="s">
        <v>476</v>
      </c>
      <c r="G58" s="9" t="s">
        <v>477</v>
      </c>
      <c r="H58" s="9" t="s">
        <v>144</v>
      </c>
      <c r="I58" s="9" t="s">
        <v>9</v>
      </c>
      <c r="J58" s="9" t="s">
        <v>494</v>
      </c>
      <c r="K58" s="9"/>
      <c r="L58" s="9" t="s">
        <v>135</v>
      </c>
      <c r="M58" s="12" t="s">
        <v>495</v>
      </c>
      <c r="N58" s="10">
        <v>46293</v>
      </c>
      <c r="O58" s="9"/>
    </row>
    <row r="59" spans="1:15" ht="109.9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  <c r="O59" s="9"/>
    </row>
    <row r="60" spans="1:15" ht="109.9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  <c r="O60" s="9"/>
    </row>
    <row r="61" spans="1:15" ht="109.9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  <c r="O61" s="9"/>
    </row>
    <row r="62" spans="1:15" ht="109.9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  <c r="O62" s="9"/>
    </row>
    <row r="63" spans="1:15" ht="109.9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/>
      <c r="O63" s="9"/>
    </row>
    <row r="64" spans="1:15" ht="109.9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  <c r="O64" s="9"/>
    </row>
    <row r="65" spans="1:15" ht="109.9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  <c r="O65" s="9"/>
    </row>
    <row r="66" spans="1:15" ht="109.9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  <c r="O66" s="9"/>
    </row>
    <row r="67" spans="1:15" ht="109.9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  <c r="O67" s="9"/>
    </row>
    <row r="68" spans="1:15" ht="109.9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0"/>
      <c r="O68" s="9"/>
    </row>
    <row r="69" spans="1:15" ht="109.9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0"/>
      <c r="O69" s="9"/>
    </row>
    <row r="70" spans="1:15" ht="109.9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  <c r="O70" s="9"/>
    </row>
    <row r="71" spans="1:15" ht="109.9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  <c r="O71" s="9"/>
    </row>
    <row r="72" spans="1:15" ht="109.9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  <c r="O72" s="9"/>
    </row>
    <row r="73" spans="1:15" ht="109.9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  <c r="O73" s="9"/>
    </row>
    <row r="74" spans="1:15" ht="109.9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  <c r="O74" s="9"/>
    </row>
    <row r="75" spans="1:15" ht="109.9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  <c r="O75" s="9"/>
    </row>
    <row r="76" spans="1:15" ht="109.9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  <c r="O76" s="9"/>
    </row>
    <row r="77" spans="1:15" ht="109.9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  <c r="O77" s="9"/>
    </row>
    <row r="78" spans="1:15" ht="109.9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  <c r="O78" s="9"/>
    </row>
    <row r="79" spans="1:15" ht="109.9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  <c r="O79" s="9"/>
    </row>
    <row r="80" spans="1:15" ht="109.9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  <c r="O80" s="9"/>
    </row>
    <row r="81" spans="1:15" ht="109.9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  <c r="O81" s="9"/>
    </row>
  </sheetData>
  <conditionalFormatting sqref="I6:I81">
    <cfRule type="cellIs" dxfId="3" priority="1" operator="equal">
      <formula>"ไม่ผ่าน"</formula>
    </cfRule>
    <cfRule type="cellIs" dxfId="2" priority="2" operator="equal">
      <formula>"ติดขัด"</formula>
    </cfRule>
    <cfRule type="cellIs" dxfId="1" priority="3" operator="equal">
      <formula>"ผ่าน"</formula>
    </cfRule>
  </conditionalFormatting>
  <dataValidations count="3">
    <dataValidation type="list" sqref="I6:I81" xr:uid="{00000000-0002-0000-0100-000000000000}">
      <formula1>"ยังไม่ทดสอบ,กำลังทดสอบ,ผ่าน,ไม่ผ่าน,ติดขัด,ไม่เกี่ยวข้อง"</formula1>
    </dataValidation>
    <dataValidation type="list" sqref="O6:O81" xr:uid="{00000000-0002-0000-0100-000001000000}">
      <formula1>"รอทดสอบซ้ำ,ผ่าน,ไม่ผ่าน,ติดขัด"</formula1>
    </dataValidation>
    <dataValidation type="list" sqref="H6:H81" xr:uid="{00000000-0002-0000-0100-000002000000}">
      <formula1>"P0,P1,P2,P3"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766"/>
  </sheetPr>
  <dimension ref="A1:O6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46" sqref="A46:O60"/>
    </sheetView>
  </sheetViews>
  <sheetFormatPr defaultRowHeight="13.8"/>
  <cols>
    <col min="1" max="2" width="16" customWidth="1"/>
    <col min="3" max="3" width="28" customWidth="1"/>
    <col min="4" max="4" width="38" customWidth="1"/>
    <col min="5" max="5" width="52" customWidth="1"/>
    <col min="6" max="6" width="56" customWidth="1"/>
    <col min="7" max="7" width="32" customWidth="1"/>
    <col min="8" max="8" width="19" customWidth="1"/>
    <col min="9" max="9" width="16" customWidth="1"/>
    <col min="10" max="10" width="48" customWidth="1"/>
    <col min="11" max="11" width="24" customWidth="1"/>
    <col min="12" max="12" width="22" customWidth="1"/>
    <col min="13" max="13" width="18" customWidth="1"/>
    <col min="14" max="14" width="22" customWidth="1"/>
    <col min="15" max="15" width="35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2" t="s">
        <v>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" customHeight="1">
      <c r="A3" s="1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7.950000000000003" customHeight="1">
      <c r="A5" s="4" t="s">
        <v>44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  <c r="K5" s="4" t="s">
        <v>60</v>
      </c>
      <c r="L5" s="4" t="s">
        <v>61</v>
      </c>
      <c r="M5" s="4" t="s">
        <v>62</v>
      </c>
      <c r="N5" s="4" t="s">
        <v>48</v>
      </c>
      <c r="O5" s="4" t="s">
        <v>63</v>
      </c>
    </row>
    <row r="6" spans="1:15" ht="72" customHeight="1">
      <c r="A6" s="6" t="s">
        <v>78</v>
      </c>
      <c r="B6" s="6" t="s">
        <v>125</v>
      </c>
      <c r="C6" s="6" t="s">
        <v>126</v>
      </c>
      <c r="D6" s="6" t="s">
        <v>176</v>
      </c>
      <c r="E6" s="6" t="s">
        <v>246</v>
      </c>
      <c r="F6" s="6" t="s">
        <v>250</v>
      </c>
      <c r="G6" s="6" t="s">
        <v>251</v>
      </c>
      <c r="H6" s="6" t="s">
        <v>92</v>
      </c>
      <c r="I6" s="6" t="s">
        <v>134</v>
      </c>
      <c r="J6" s="6" t="s">
        <v>252</v>
      </c>
      <c r="K6" s="6"/>
      <c r="L6" s="6" t="s">
        <v>93</v>
      </c>
      <c r="M6" s="7"/>
      <c r="N6" s="6"/>
      <c r="O6" s="6" t="s">
        <v>94</v>
      </c>
    </row>
    <row r="7" spans="1:15" ht="72" customHeight="1">
      <c r="A7" s="6" t="s">
        <v>96</v>
      </c>
      <c r="B7" s="6" t="s">
        <v>127</v>
      </c>
      <c r="C7" s="6" t="s">
        <v>126</v>
      </c>
      <c r="D7" s="6" t="s">
        <v>259</v>
      </c>
      <c r="E7" s="6" t="s">
        <v>256</v>
      </c>
      <c r="F7" s="6" t="s">
        <v>260</v>
      </c>
      <c r="G7" s="6" t="s">
        <v>261</v>
      </c>
      <c r="H7" s="6" t="s">
        <v>92</v>
      </c>
      <c r="I7" s="6" t="s">
        <v>134</v>
      </c>
      <c r="J7" s="6" t="s">
        <v>262</v>
      </c>
      <c r="K7" s="6"/>
      <c r="L7" s="6" t="s">
        <v>93</v>
      </c>
      <c r="M7" s="7"/>
      <c r="N7" s="6"/>
      <c r="O7" s="6" t="s">
        <v>97</v>
      </c>
    </row>
    <row r="8" spans="1:15" ht="72" customHeight="1">
      <c r="A8" s="6" t="s">
        <v>99</v>
      </c>
      <c r="B8" s="6" t="s">
        <v>130</v>
      </c>
      <c r="C8" s="6" t="s">
        <v>114</v>
      </c>
      <c r="D8" s="6" t="s">
        <v>278</v>
      </c>
      <c r="E8" s="6" t="s">
        <v>275</v>
      </c>
      <c r="F8" s="6" t="s">
        <v>279</v>
      </c>
      <c r="G8" s="6" t="s">
        <v>280</v>
      </c>
      <c r="H8" s="6" t="s">
        <v>115</v>
      </c>
      <c r="I8" s="6" t="s">
        <v>75</v>
      </c>
      <c r="J8" s="6" t="s">
        <v>281</v>
      </c>
      <c r="K8" s="6"/>
      <c r="L8" s="6" t="s">
        <v>93</v>
      </c>
      <c r="M8" s="7"/>
      <c r="N8" s="6"/>
      <c r="O8" s="6" t="s">
        <v>100</v>
      </c>
    </row>
    <row r="9" spans="1:15" ht="72" customHeight="1">
      <c r="A9" s="6" t="s">
        <v>102</v>
      </c>
      <c r="B9" s="6" t="s">
        <v>138</v>
      </c>
      <c r="C9" s="6" t="s">
        <v>114</v>
      </c>
      <c r="D9" s="6" t="s">
        <v>304</v>
      </c>
      <c r="E9" s="6" t="s">
        <v>301</v>
      </c>
      <c r="F9" s="6" t="s">
        <v>305</v>
      </c>
      <c r="G9" s="6" t="s">
        <v>306</v>
      </c>
      <c r="H9" s="6" t="s">
        <v>115</v>
      </c>
      <c r="I9" s="6" t="s">
        <v>75</v>
      </c>
      <c r="J9" s="6" t="s">
        <v>307</v>
      </c>
      <c r="K9" s="6"/>
      <c r="L9" s="6" t="s">
        <v>93</v>
      </c>
      <c r="M9" s="7"/>
      <c r="N9" s="6"/>
      <c r="O9" s="6" t="s">
        <v>103</v>
      </c>
    </row>
    <row r="10" spans="1:15" ht="72" customHeight="1">
      <c r="A10" s="6" t="s">
        <v>107</v>
      </c>
      <c r="B10" s="6" t="s">
        <v>148</v>
      </c>
      <c r="C10" s="6" t="s">
        <v>180</v>
      </c>
      <c r="D10" s="6" t="s">
        <v>352</v>
      </c>
      <c r="E10" s="6" t="s">
        <v>348</v>
      </c>
      <c r="F10" s="6" t="s">
        <v>353</v>
      </c>
      <c r="G10" s="6" t="s">
        <v>354</v>
      </c>
      <c r="H10" s="6" t="s">
        <v>115</v>
      </c>
      <c r="I10" s="6" t="s">
        <v>75</v>
      </c>
      <c r="J10" s="6" t="s">
        <v>355</v>
      </c>
      <c r="K10" s="6"/>
      <c r="L10" s="6" t="s">
        <v>93</v>
      </c>
      <c r="M10" s="7"/>
      <c r="N10" s="6"/>
      <c r="O10" s="6" t="s">
        <v>109</v>
      </c>
    </row>
    <row r="11" spans="1:15" ht="72" customHeight="1">
      <c r="A11" s="6" t="s">
        <v>112</v>
      </c>
      <c r="B11" s="6" t="s">
        <v>168</v>
      </c>
      <c r="C11" s="6" t="s">
        <v>154</v>
      </c>
      <c r="D11" s="6" t="s">
        <v>399</v>
      </c>
      <c r="E11" s="6" t="s">
        <v>396</v>
      </c>
      <c r="F11" s="6" t="s">
        <v>400</v>
      </c>
      <c r="G11" s="6" t="s">
        <v>401</v>
      </c>
      <c r="H11" s="6" t="s">
        <v>115</v>
      </c>
      <c r="I11" s="6" t="s">
        <v>75</v>
      </c>
      <c r="J11" s="6" t="s">
        <v>402</v>
      </c>
      <c r="K11" s="6"/>
      <c r="L11" s="6" t="s">
        <v>93</v>
      </c>
      <c r="M11" s="7"/>
      <c r="N11" s="6"/>
      <c r="O11" s="6" t="s">
        <v>116</v>
      </c>
    </row>
    <row r="12" spans="1:15" ht="72" customHeight="1">
      <c r="A12" s="6" t="s">
        <v>119</v>
      </c>
      <c r="B12" s="6" t="s">
        <v>178</v>
      </c>
      <c r="C12" s="6" t="s">
        <v>182</v>
      </c>
      <c r="D12" s="6" t="s">
        <v>432</v>
      </c>
      <c r="E12" s="6" t="s">
        <v>430</v>
      </c>
      <c r="F12" s="6" t="s">
        <v>488</v>
      </c>
      <c r="G12" s="6" t="s">
        <v>433</v>
      </c>
      <c r="H12" s="6" t="s">
        <v>115</v>
      </c>
      <c r="I12" s="6" t="s">
        <v>75</v>
      </c>
      <c r="J12" s="6" t="s">
        <v>434</v>
      </c>
      <c r="K12" s="6"/>
      <c r="L12" s="6" t="s">
        <v>93</v>
      </c>
      <c r="M12" s="7"/>
      <c r="N12" s="6"/>
      <c r="O12" s="6" t="s">
        <v>120</v>
      </c>
    </row>
    <row r="13" spans="1:15" ht="72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6"/>
      <c r="O13" s="6"/>
    </row>
    <row r="14" spans="1:15" ht="72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6"/>
      <c r="O14" s="6"/>
    </row>
    <row r="15" spans="1:15" ht="72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6"/>
      <c r="O15" s="6"/>
    </row>
    <row r="16" spans="1:15" ht="72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6"/>
      <c r="O16" s="6"/>
    </row>
    <row r="17" spans="1:15" ht="72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6"/>
      <c r="O17" s="6"/>
    </row>
    <row r="18" spans="1:15" ht="72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6"/>
      <c r="O18" s="6"/>
    </row>
    <row r="19" spans="1:15" ht="72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6"/>
      <c r="O19" s="6"/>
    </row>
    <row r="20" spans="1:15" ht="72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6"/>
      <c r="O20" s="6"/>
    </row>
    <row r="21" spans="1:15" ht="72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6"/>
      <c r="O21" s="6"/>
    </row>
    <row r="22" spans="1:15" ht="72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6"/>
      <c r="O22" s="6"/>
    </row>
    <row r="23" spans="1:15" ht="72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6"/>
      <c r="O23" s="6"/>
    </row>
    <row r="24" spans="1:15" ht="72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6"/>
      <c r="O24" s="6"/>
    </row>
    <row r="25" spans="1:15" ht="72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6"/>
      <c r="O25" s="6"/>
    </row>
    <row r="26" spans="1:15" ht="72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6"/>
      <c r="O26" s="6"/>
    </row>
    <row r="27" spans="1:15" ht="72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6"/>
      <c r="O27" s="6"/>
    </row>
    <row r="28" spans="1:15" ht="72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6"/>
      <c r="O28" s="6"/>
    </row>
    <row r="29" spans="1:15" ht="72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6"/>
      <c r="O29" s="6"/>
    </row>
    <row r="30" spans="1:15" ht="72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6"/>
      <c r="O30" s="6"/>
    </row>
    <row r="31" spans="1:15" ht="72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6"/>
      <c r="O31" s="6"/>
    </row>
    <row r="32" spans="1:15" ht="72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6"/>
      <c r="O32" s="6"/>
    </row>
    <row r="33" spans="1:15" ht="72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6"/>
      <c r="O33" s="6"/>
    </row>
    <row r="34" spans="1:15" ht="72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6"/>
      <c r="O34" s="6"/>
    </row>
    <row r="35" spans="1:15" ht="72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6"/>
      <c r="O35" s="6"/>
    </row>
    <row r="36" spans="1:15" ht="72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6"/>
      <c r="O36" s="6"/>
    </row>
    <row r="37" spans="1:15" ht="72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</row>
    <row r="38" spans="1:15" ht="72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  <c r="N38" s="6"/>
      <c r="O38" s="6"/>
    </row>
    <row r="39" spans="1:15" ht="72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  <c r="N39" s="6"/>
      <c r="O39" s="6"/>
    </row>
    <row r="40" spans="1:15" ht="72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  <c r="N40" s="6"/>
      <c r="O40" s="6"/>
    </row>
    <row r="41" spans="1:15" ht="72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  <c r="N41" s="6"/>
      <c r="O41" s="6"/>
    </row>
    <row r="42" spans="1:15" ht="72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6"/>
      <c r="O42" s="6"/>
    </row>
    <row r="43" spans="1:15" ht="72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  <c r="N43" s="6"/>
      <c r="O43" s="6"/>
    </row>
    <row r="44" spans="1:15" ht="72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  <c r="N44" s="6"/>
      <c r="O44" s="6"/>
    </row>
    <row r="45" spans="1:15" ht="72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  <c r="N45" s="6"/>
      <c r="O45" s="6"/>
    </row>
    <row r="46" spans="1: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6"/>
      <c r="O46" s="6"/>
    </row>
    <row r="47" spans="1: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  <c r="N47" s="6"/>
      <c r="O47" s="6"/>
    </row>
    <row r="48" spans="1: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  <c r="N48" s="6"/>
      <c r="O48" s="6"/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  <c r="N49" s="6"/>
      <c r="O49" s="6"/>
    </row>
    <row r="50" spans="1: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  <c r="N50" s="6"/>
      <c r="O50" s="6"/>
    </row>
    <row r="51" spans="1: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  <c r="N51" s="6"/>
      <c r="O51" s="6"/>
    </row>
    <row r="52" spans="1: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  <c r="N52" s="6"/>
      <c r="O52" s="6"/>
    </row>
    <row r="53" spans="1: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  <c r="N53" s="6"/>
      <c r="O53" s="6"/>
    </row>
    <row r="54" spans="1: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  <c r="N54" s="6"/>
      <c r="O54" s="6"/>
    </row>
    <row r="55" spans="1: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  <c r="N55" s="6"/>
      <c r="O55" s="6"/>
    </row>
    <row r="56" spans="1: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  <c r="N56" s="6"/>
      <c r="O56" s="6"/>
    </row>
    <row r="57" spans="1: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  <c r="N57" s="6"/>
      <c r="O57" s="6"/>
    </row>
    <row r="58" spans="1: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  <c r="N58" s="6"/>
      <c r="O58" s="6"/>
    </row>
    <row r="59" spans="1: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  <c r="N59" s="6"/>
      <c r="O59" s="6"/>
    </row>
    <row r="60" spans="1: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  <c r="N60" s="6"/>
      <c r="O60" s="6"/>
    </row>
  </sheetData>
  <conditionalFormatting sqref="H6:H60">
    <cfRule type="containsText" dxfId="0" priority="1" operator="containsText" text="วิกฤต"/>
  </conditionalFormatting>
  <dataValidations count="4">
    <dataValidation type="list" sqref="H6:H60" xr:uid="{00000000-0002-0000-0200-000000000000}">
      <formula1>"วิกฤต,สูง,กลาง,ต่ำ"</formula1>
    </dataValidation>
    <dataValidation type="list" sqref="I6:I60" xr:uid="{00000000-0002-0000-0200-000001000000}">
      <formula1>"P0,P1,P2,P3"</formula1>
    </dataValidation>
    <dataValidation type="list" sqref="L6:L60" xr:uid="{00000000-0002-0000-0200-000002000000}">
      <formula1>"เปิดใหม่,ยืนยันแล้ว,กำลังแก้,รอทดสอบซ้ำ,ปิดแล้ว,ไม่แก้/ยอมรับ"</formula1>
    </dataValidation>
    <dataValidation type="list" sqref="N6:N60" xr:uid="{00000000-0002-0000-0200-000003000000}">
      <formula1>"ผ่าน,ไม่ผ่าน,ติดขัด"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766"/>
  </sheetPr>
  <dimension ref="A1:C46"/>
  <sheetViews>
    <sheetView showGridLines="0" workbookViewId="0"/>
  </sheetViews>
  <sheetFormatPr defaultRowHeight="13.8"/>
  <cols>
    <col min="1" max="1" width="30" customWidth="1"/>
    <col min="2" max="2" width="100" customWidth="1"/>
    <col min="3" max="3" width="3" customWidth="1"/>
  </cols>
  <sheetData>
    <row r="1" spans="1:3" ht="24" customHeight="1">
      <c r="A1" s="1"/>
      <c r="B1" s="1"/>
      <c r="C1" s="1"/>
    </row>
    <row r="2" spans="1:3" ht="24" customHeight="1">
      <c r="A2" s="2" t="s">
        <v>64</v>
      </c>
      <c r="B2" s="1"/>
      <c r="C2" s="1"/>
    </row>
    <row r="3" spans="1:3" ht="24" customHeight="1">
      <c r="A3" s="1"/>
      <c r="B3" s="1"/>
      <c r="C3" s="1"/>
    </row>
    <row r="4" spans="1:3" ht="24" customHeight="1">
      <c r="A4" s="11" t="s">
        <v>65</v>
      </c>
      <c r="B4" s="11" t="s">
        <v>66</v>
      </c>
      <c r="C4" s="1"/>
    </row>
    <row r="5" spans="1:3" ht="34.049999999999997" customHeight="1">
      <c r="A5" s="5" t="s">
        <v>34</v>
      </c>
      <c r="B5" s="5" t="s">
        <v>67</v>
      </c>
      <c r="C5" s="1"/>
    </row>
    <row r="6" spans="1:3" ht="34.049999999999997" customHeight="1">
      <c r="A6" s="5" t="s">
        <v>35</v>
      </c>
      <c r="B6" s="5" t="s">
        <v>68</v>
      </c>
      <c r="C6" s="1"/>
    </row>
    <row r="7" spans="1:3" ht="34.049999999999997" customHeight="1">
      <c r="A7" s="5" t="s">
        <v>36</v>
      </c>
      <c r="B7" s="5" t="s">
        <v>69</v>
      </c>
      <c r="C7" s="1"/>
    </row>
    <row r="8" spans="1:3" ht="34.049999999999997" customHeight="1">
      <c r="A8" s="5" t="s">
        <v>37</v>
      </c>
      <c r="B8" s="5" t="s">
        <v>70</v>
      </c>
      <c r="C8" s="1"/>
    </row>
    <row r="9" spans="1:3" ht="34.049999999999997" customHeight="1">
      <c r="A9" s="5" t="s">
        <v>38</v>
      </c>
      <c r="B9" s="5" t="s">
        <v>71</v>
      </c>
      <c r="C9" s="1"/>
    </row>
    <row r="10" spans="1:3" ht="72" customHeight="1">
      <c r="A10" s="5" t="s">
        <v>72</v>
      </c>
      <c r="B10" s="5" t="s">
        <v>73</v>
      </c>
      <c r="C10" s="1"/>
    </row>
    <row r="11" spans="1:3" ht="34.049999999999997" customHeight="1">
      <c r="A11" s="5" t="s">
        <v>40</v>
      </c>
      <c r="B11" s="5" t="s">
        <v>74</v>
      </c>
      <c r="C11" s="1"/>
    </row>
    <row r="12" spans="1:3" ht="34.049999999999997" customHeight="1">
      <c r="A12" s="5" t="s">
        <v>41</v>
      </c>
      <c r="B12" s="5" t="s">
        <v>75</v>
      </c>
      <c r="C12" s="1"/>
    </row>
    <row r="13" spans="1:3" ht="34.049999999999997" customHeight="1">
      <c r="A13" s="5" t="s">
        <v>42</v>
      </c>
      <c r="B13" s="5" t="s">
        <v>76</v>
      </c>
      <c r="C13" s="1"/>
    </row>
    <row r="14" spans="1:3" ht="34.049999999999997" customHeight="1">
      <c r="A14" s="5" t="s">
        <v>43</v>
      </c>
      <c r="B14" s="5" t="s">
        <v>77</v>
      </c>
      <c r="C14" s="1"/>
    </row>
    <row r="15" spans="1:3" ht="34.049999999999997" customHeight="1">
      <c r="A15" s="5" t="s">
        <v>44</v>
      </c>
      <c r="B15" s="5" t="s">
        <v>78</v>
      </c>
      <c r="C15" s="1"/>
    </row>
    <row r="16" spans="1:3" ht="34.049999999999997" customHeight="1">
      <c r="A16" s="5" t="s">
        <v>45</v>
      </c>
      <c r="B16" s="5" t="s">
        <v>79</v>
      </c>
      <c r="C16" s="1"/>
    </row>
    <row r="17" spans="1:3" ht="34.049999999999997" customHeight="1">
      <c r="A17" s="5" t="s">
        <v>46</v>
      </c>
      <c r="B17" s="5" t="s">
        <v>80</v>
      </c>
      <c r="C17" s="1"/>
    </row>
    <row r="18" spans="1:3" ht="34.049999999999997" customHeight="1">
      <c r="A18" s="5" t="s">
        <v>47</v>
      </c>
      <c r="B18" s="5" t="s">
        <v>81</v>
      </c>
      <c r="C18" s="1"/>
    </row>
    <row r="19" spans="1:3" ht="34.049999999999997" customHeight="1">
      <c r="A19" s="5" t="s">
        <v>48</v>
      </c>
      <c r="B19" s="5" t="s">
        <v>82</v>
      </c>
      <c r="C19" s="1"/>
    </row>
    <row r="20" spans="1:3" ht="34.049999999999997" customHeight="1">
      <c r="A20" s="1"/>
      <c r="B20" s="1"/>
      <c r="C20" s="1"/>
    </row>
    <row r="21" spans="1:3" ht="34.049999999999997" customHeight="1">
      <c r="A21" s="1"/>
      <c r="B21" s="1"/>
      <c r="C21" s="1"/>
    </row>
    <row r="22" spans="1:3" ht="55.05" customHeight="1">
      <c r="A22" s="5" t="s">
        <v>42</v>
      </c>
      <c r="B22" s="5" t="s">
        <v>83</v>
      </c>
      <c r="C22" s="1"/>
    </row>
    <row r="23" spans="1:3" ht="55.05" customHeight="1">
      <c r="A23" s="5" t="s">
        <v>57</v>
      </c>
      <c r="B23" s="5" t="s">
        <v>84</v>
      </c>
      <c r="C23" s="1"/>
    </row>
    <row r="24" spans="1:3" ht="55.05" customHeight="1">
      <c r="A24" s="5" t="s">
        <v>58</v>
      </c>
      <c r="B24" s="5" t="s">
        <v>85</v>
      </c>
      <c r="C24" s="1"/>
    </row>
    <row r="25" spans="1:3" ht="55.05" customHeight="1">
      <c r="A25" s="5" t="s">
        <v>56</v>
      </c>
      <c r="B25" s="5" t="s">
        <v>86</v>
      </c>
      <c r="C25" s="1"/>
    </row>
    <row r="26" spans="1:3" ht="55.05" customHeight="1">
      <c r="A26" s="5" t="s">
        <v>87</v>
      </c>
      <c r="B26" s="5" t="s">
        <v>88</v>
      </c>
      <c r="C26" s="1"/>
    </row>
    <row r="27" spans="1:3" ht="55.05" customHeight="1">
      <c r="A27" s="5" t="s">
        <v>89</v>
      </c>
      <c r="B27" s="5" t="s">
        <v>90</v>
      </c>
      <c r="C27" s="1"/>
    </row>
    <row r="28" spans="1:3" ht="34.049999999999997" customHeight="1">
      <c r="A28" s="1"/>
      <c r="B28" s="1"/>
      <c r="C28" s="1"/>
    </row>
    <row r="29" spans="1:3" ht="34.049999999999997" customHeight="1">
      <c r="A29" s="1"/>
      <c r="B29" s="1"/>
      <c r="C29" s="1"/>
    </row>
    <row r="30" spans="1:3" ht="34.049999999999997" customHeight="1">
      <c r="A30" s="1"/>
      <c r="B30" s="1"/>
      <c r="C30" s="1"/>
    </row>
    <row r="31" spans="1:3" ht="34.049999999999997" customHeight="1"/>
    <row r="32" spans="1:3" ht="34.049999999999997" customHeight="1"/>
    <row r="33" ht="34.049999999999997" customHeight="1"/>
    <row r="36" ht="55.05" customHeight="1"/>
    <row r="37" ht="55.05" customHeight="1"/>
    <row r="38" ht="55.05" customHeight="1"/>
    <row r="39" ht="55.05" customHeight="1"/>
    <row r="40" ht="55.05" customHeight="1"/>
    <row r="41" ht="55.05" customHeight="1"/>
    <row r="42" ht="55.05" customHeight="1"/>
    <row r="43" ht="55.05" customHeight="1"/>
    <row r="44" ht="55.05" customHeight="1"/>
    <row r="45" ht="55.05" customHeight="1"/>
    <row r="46" ht="55.0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เริ่มต้นและสรุป</vt:lpstr>
      <vt:lpstr>รายการทดสอบ</vt:lpstr>
      <vt:lpstr>รายการแก้ไข</vt:lpstr>
      <vt:lpstr>ชุดข้อมูลและเกณฑ์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KoRi .</cp:lastModifiedBy>
  <dcterms:modified xsi:type="dcterms:W3CDTF">2026-09-28T09:57:18Z</dcterms:modified>
</cp:coreProperties>
</file>